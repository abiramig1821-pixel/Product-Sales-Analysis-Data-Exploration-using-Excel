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6795"/>
  </bookViews>
  <sheets>
    <sheet name="Dataset Ques 01 to 3" sheetId="1" r:id="rId1"/>
    <sheet name="From Ques 4 To 6" sheetId="2" r:id="rId2"/>
  </sheets>
  <calcPr calcId="144525"/>
</workbook>
</file>

<file path=xl/sharedStrings.xml><?xml version="1.0" encoding="utf-8"?>
<sst xmlns="http://schemas.openxmlformats.org/spreadsheetml/2006/main" count="327" uniqueCount="150">
  <si>
    <t>Product ID</t>
  </si>
  <si>
    <t>Correcting inconsistent Data (Product Name)</t>
  </si>
  <si>
    <t>Product Name</t>
  </si>
  <si>
    <t>Brand Name</t>
  </si>
  <si>
    <t>Price  (Handling M
issing Values)</t>
  </si>
  <si>
    <t>Price ($)</t>
  </si>
  <si>
    <t>Quantity</t>
  </si>
  <si>
    <t>Category (Handling Missing Values)</t>
  </si>
  <si>
    <t>Category</t>
  </si>
  <si>
    <t>Data Exploration - Module 1 - Excel Assignment 2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</si>
  <si>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</si>
  <si>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</si>
  <si>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</si>
  <si>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</si>
  <si>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</si>
  <si>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</si>
  <si>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</si>
  <si>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</si>
  <si>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1.Handling Missing Values</t>
  </si>
  <si>
    <t>03-MAR-US</t>
  </si>
  <si>
    <t>Coffee Maker</t>
  </si>
  <si>
    <t>Keurig</t>
  </si>
  <si>
    <t>Kitchen</t>
  </si>
  <si>
    <t xml:space="preserve">*A.Missing Price </t>
  </si>
  <si>
    <t>11-APR-US</t>
  </si>
  <si>
    <t>smartphone</t>
  </si>
  <si>
    <t>Samsung</t>
  </si>
  <si>
    <t xml:space="preserve"> Using Conditional Formatting IF() function- Find the blank in Price column and replace average of the total price</t>
  </si>
  <si>
    <t>22-MAY-US</t>
  </si>
  <si>
    <t>Backpack</t>
  </si>
  <si>
    <t>North Face</t>
  </si>
  <si>
    <t>Formula</t>
  </si>
  <si>
    <t>Function</t>
  </si>
  <si>
    <t>Result</t>
  </si>
  <si>
    <t>Detailed Description -Example of row</t>
  </si>
  <si>
    <t>07-JUN-UK</t>
  </si>
  <si>
    <t>Headphones</t>
  </si>
  <si>
    <t>Sony</t>
  </si>
  <si>
    <t>IF(), ISBLANK(), AVERAGE()</t>
  </si>
  <si>
    <t>IF(ISBLANK(E7),AVERAGE($E$2:$E$35),E2)</t>
  </si>
  <si>
    <t>Found blank in 7th row of price column and replace average of total price by using IF()</t>
  </si>
  <si>
    <t>19-JUL-UK</t>
  </si>
  <si>
    <t>T-shirt</t>
  </si>
  <si>
    <t>Adidas</t>
  </si>
  <si>
    <t>23-AUG-UK</t>
  </si>
  <si>
    <t>Blender</t>
  </si>
  <si>
    <t>Ninja</t>
  </si>
  <si>
    <t>*B.Missing Categories</t>
  </si>
  <si>
    <t>05-SEP-UK</t>
  </si>
  <si>
    <t>Tablet</t>
  </si>
  <si>
    <t>Apple</t>
  </si>
  <si>
    <t xml:space="preserve"> Using Conditional Formatting IF() function- Find the blank in Category column and replace as "Unknown"</t>
  </si>
  <si>
    <t>14-OCT-UK</t>
  </si>
  <si>
    <t>Hiking Boots</t>
  </si>
  <si>
    <t>Timberland</t>
  </si>
  <si>
    <t>Outdoor</t>
  </si>
  <si>
    <t>25-NOV-AU</t>
  </si>
  <si>
    <t>IF(), ISBLANK()</t>
  </si>
  <si>
    <t>IF(ISBLANK(I2),"UnKnown",I2)</t>
  </si>
  <si>
    <t>Found blank in 6thh row of Category column and replace as Unknown  by using IF(), ISBLANK()</t>
  </si>
  <si>
    <t>08-DEC-DE</t>
  </si>
  <si>
    <t>Nespresso</t>
  </si>
  <si>
    <t>2. Correcting inconsistent Data</t>
  </si>
  <si>
    <t>18-FEB-CA</t>
  </si>
  <si>
    <t>Smartwatch</t>
  </si>
  <si>
    <t>Fitbit</t>
  </si>
  <si>
    <t>a.Identify any inconsistent text formats in Product Name column</t>
  </si>
  <si>
    <t>20-AUG-CN</t>
  </si>
  <si>
    <t>Huawei</t>
  </si>
  <si>
    <t xml:space="preserve">Found inconsistent data by using Proper() correcting the text format </t>
  </si>
  <si>
    <t>27-JAN-IT</t>
  </si>
  <si>
    <t>Asus</t>
  </si>
  <si>
    <t>01-MAR-UK</t>
  </si>
  <si>
    <t>Sunglasses</t>
  </si>
  <si>
    <t>Oakley</t>
  </si>
  <si>
    <t>Proper()</t>
  </si>
  <si>
    <t>PROPER(C2)</t>
  </si>
  <si>
    <t>Found inconstant Data in 2th Row as laptop by using proper() convert standardize text formats</t>
  </si>
  <si>
    <t>14-AUG-US</t>
  </si>
  <si>
    <t>Camping Tent</t>
  </si>
  <si>
    <t>Coleman</t>
  </si>
  <si>
    <t>14-MAY-RU</t>
  </si>
  <si>
    <t>Camera</t>
  </si>
  <si>
    <t>Nikon</t>
  </si>
  <si>
    <t>b.Identify Typos &amp; Misspelling in Category column</t>
  </si>
  <si>
    <t>09-JAN-CA</t>
  </si>
  <si>
    <t>Microwave</t>
  </si>
  <si>
    <t>Panasonic</t>
  </si>
  <si>
    <t>Found Misspelling Using filterer &amp; Using find and replace function fixing it.</t>
  </si>
  <si>
    <t>19-JUL-BR</t>
  </si>
  <si>
    <t>Fitness Tracker</t>
  </si>
  <si>
    <t>Xiaomi</t>
  </si>
  <si>
    <t>29-SEP-CA</t>
  </si>
  <si>
    <t>Smartphone</t>
  </si>
  <si>
    <t>Google</t>
  </si>
  <si>
    <t>Filler, Find &amp; Replace</t>
  </si>
  <si>
    <t>Crtl + H (Or) In Home Tab we choose Find &amp; replace Option</t>
  </si>
  <si>
    <t>Found Electroni in 7th row by using find &amp; replce function changed as Electronics</t>
  </si>
  <si>
    <t>03-JUN-CA</t>
  </si>
  <si>
    <t>Ray-Ban</t>
  </si>
  <si>
    <t>11-JUL-CA</t>
  </si>
  <si>
    <t>Vitamix</t>
  </si>
  <si>
    <t>3.Removing Duplicates</t>
  </si>
  <si>
    <t>07-MAR-CA</t>
  </si>
  <si>
    <t>Dress</t>
  </si>
  <si>
    <t>Zara</t>
  </si>
  <si>
    <t>Finding duplicate value in Product ID column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</si>
  <si>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</si>
  <si>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</si>
  <si>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</si>
  <si>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</si>
  <si>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</si>
  <si>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</si>
  <si>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</si>
  <si>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</si>
  <si>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Choose Remove Duplicate in Data Tab</t>
  </si>
  <si>
    <t>Select Product ID column &amp; Remove Duplicate in Data Tab</t>
  </si>
  <si>
    <t>Duplicate Data removed</t>
  </si>
  <si>
    <t xml:space="preserve">Found 6 rows of duplicate items &amp; Removed. </t>
  </si>
  <si>
    <t>09-JUL-FR</t>
  </si>
  <si>
    <t>Watch</t>
  </si>
  <si>
    <t>Casio</t>
  </si>
  <si>
    <t>Accessories</t>
  </si>
  <si>
    <t>Country Code</t>
  </si>
  <si>
    <t>Product Brand</t>
  </si>
  <si>
    <t>Price  (Handling Missing Values)</t>
  </si>
  <si>
    <t>Manufacturing Date</t>
  </si>
  <si>
    <t>This Colored Header column shown as the changes made as per the requirments.</t>
  </si>
  <si>
    <t>4. Splitting &amp; Merging Data</t>
  </si>
  <si>
    <t xml:space="preserve">a. Splitting Product ID column into Two as "Manufauring Date" &amp; "Country Code" </t>
  </si>
  <si>
    <t xml:space="preserve">            Using LEFT(),RIGHT()  returned Manufacturing Date, Country Code in two Seperate Column</t>
  </si>
  <si>
    <t>Results</t>
  </si>
  <si>
    <t>LEFT(), RIGHT()</t>
  </si>
  <si>
    <t>LEFT(A2,6), RIGHT(A2,2)</t>
  </si>
  <si>
    <t>b.Merging  Product Name and Product Brand column into "Product Brand" column</t>
  </si>
  <si>
    <t xml:space="preserve">                      Merging Data by using "&amp;" </t>
  </si>
  <si>
    <t>&amp;</t>
  </si>
  <si>
    <t>F2&amp;" - "&amp;H2</t>
  </si>
  <si>
    <t>5. Number Formatting</t>
  </si>
  <si>
    <t>Format the data type of Price column into Currency &amp; Manufaturing Date into Date type</t>
  </si>
  <si>
    <t>Home Tab</t>
  </si>
  <si>
    <t>Home Tab - change Currency, Date Format</t>
  </si>
  <si>
    <t>Currency, Date format changed</t>
  </si>
  <si>
    <t>6.Conditional Formatting</t>
  </si>
  <si>
    <t>a.Apply Data bar or Color scales formatting in the price column</t>
  </si>
  <si>
    <t>Home Tab - Conditional formatting using Data Bar</t>
  </si>
  <si>
    <t>Data Bar Shown in the column</t>
  </si>
  <si>
    <t>b.Custom rule for conditonal formatting in the category column to highlight Electronics cell</t>
  </si>
  <si>
    <r>
      <t>Home Tab - Conditional formatting using highlight which contains "</t>
    </r>
    <r>
      <rPr>
        <b/>
        <sz val="11"/>
        <color theme="1"/>
        <rFont val="Times New Roman"/>
        <charset val="134"/>
      </rPr>
      <t>Electronics</t>
    </r>
    <r>
      <rPr>
        <sz val="11"/>
        <color theme="1"/>
        <rFont val="Times New Roman"/>
        <charset val="134"/>
      </rPr>
      <t>"</t>
    </r>
  </si>
  <si>
    <t>In category column "Electronics" Highlights in purple color</t>
  </si>
</sst>
</file>

<file path=xl/styles.xml><?xml version="1.0" encoding="utf-8"?>
<styleSheet xmlns="http://schemas.openxmlformats.org/spreadsheetml/2006/main">
  <numFmts count="9">
    <numFmt numFmtId="176" formatCode="[$₹-439]#,##0.00_);[Red]\([$₹-439]#,##0.00\)"/>
    <numFmt numFmtId="177" formatCode="0_);[Red]\(0\)"/>
    <numFmt numFmtId="8" formatCode="&quot;$&quot;#,##0.00_);[Red]\(&quot;$&quot;#,##0.00\)"/>
    <numFmt numFmtId="6" formatCode="&quot;$&quot;#,##0_);[Red]\(&quot;$&quot;#,##0\)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[$-409]d\-mmm;@"/>
  </numFmts>
  <fonts count="29">
    <font>
      <sz val="10"/>
      <color rgb="FF000000"/>
      <name val="Arial"/>
      <charset val="134"/>
      <scheme val="minor"/>
    </font>
    <font>
      <sz val="10"/>
      <color rgb="FF00000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6"/>
      <color theme="2"/>
      <name val="Times New Roman"/>
      <charset val="134"/>
    </font>
    <font>
      <b/>
      <sz val="14"/>
      <color theme="2"/>
      <name val="Times New Roman"/>
      <charset val="134"/>
    </font>
    <font>
      <b/>
      <sz val="14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4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3" tint="0.3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3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9" fillId="15" borderId="1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24" borderId="21" applyNumberFormat="0" applyFont="0" applyAlignment="0" applyProtection="0">
      <alignment vertical="center"/>
    </xf>
    <xf numFmtId="0" fontId="12" fillId="10" borderId="1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15" borderId="15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22" fillId="18" borderId="20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92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0" fontId="1" fillId="0" borderId="0" xfId="0" applyNumberFormat="1" applyFont="1" applyAlignment="1"/>
    <xf numFmtId="8" fontId="1" fillId="0" borderId="0" xfId="0" applyNumberFormat="1" applyFont="1" applyAlignment="1">
      <alignment vertical="top"/>
    </xf>
    <xf numFmtId="177" fontId="1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 wrapText="1"/>
    </xf>
    <xf numFmtId="0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80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80" fontId="3" fillId="4" borderId="1" xfId="0" applyNumberFormat="1" applyFont="1" applyFill="1" applyBorder="1" applyAlignment="1">
      <alignment horizontal="left"/>
    </xf>
    <xf numFmtId="0" fontId="3" fillId="4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center"/>
    </xf>
    <xf numFmtId="8" fontId="2" fillId="3" borderId="1" xfId="0" applyNumberFormat="1" applyFont="1" applyFill="1" applyBorder="1" applyAlignment="1">
      <alignment horizontal="center" vertical="top" wrapText="1"/>
    </xf>
    <xf numFmtId="8" fontId="3" fillId="0" borderId="1" xfId="0" applyNumberFormat="1" applyFont="1" applyBorder="1" applyAlignment="1">
      <alignment horizontal="left" vertical="top"/>
    </xf>
    <xf numFmtId="8" fontId="3" fillId="4" borderId="1" xfId="0" applyNumberFormat="1" applyFont="1" applyFill="1" applyBorder="1" applyAlignment="1">
      <alignment horizontal="left" vertical="top"/>
    </xf>
    <xf numFmtId="177" fontId="2" fillId="2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 wrapText="1"/>
    </xf>
    <xf numFmtId="177" fontId="3" fillId="0" borderId="1" xfId="0" applyNumberFormat="1" applyFont="1" applyBorder="1" applyAlignment="1">
      <alignment horizontal="left"/>
    </xf>
    <xf numFmtId="177" fontId="3" fillId="4" borderId="1" xfId="0" applyNumberFormat="1" applyFont="1" applyFill="1" applyBorder="1" applyAlignment="1">
      <alignment horizontal="left"/>
    </xf>
    <xf numFmtId="177" fontId="3" fillId="0" borderId="0" xfId="0" applyNumberFormat="1" applyFont="1" applyAlignment="1">
      <alignment horizontal="left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5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7" fillId="7" borderId="1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 vertical="center"/>
    </xf>
    <xf numFmtId="176" fontId="8" fillId="7" borderId="2" xfId="0" applyNumberFormat="1" applyFont="1" applyFill="1" applyBorder="1" applyAlignment="1">
      <alignment horizontal="center" vertical="center"/>
    </xf>
    <xf numFmtId="176" fontId="8" fillId="7" borderId="10" xfId="0" applyNumberFormat="1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176" fontId="8" fillId="7" borderId="5" xfId="0" applyNumberFormat="1" applyFont="1" applyFill="1" applyBorder="1" applyAlignment="1">
      <alignment horizontal="center" vertical="center"/>
    </xf>
    <xf numFmtId="176" fontId="8" fillId="7" borderId="12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" fillId="7" borderId="5" xfId="0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left" vertical="top" wrapText="1"/>
    </xf>
    <xf numFmtId="0" fontId="8" fillId="7" borderId="13" xfId="0" applyFont="1" applyFill="1" applyBorder="1" applyAlignment="1">
      <alignment horizontal="center" vertical="center"/>
    </xf>
    <xf numFmtId="176" fontId="8" fillId="7" borderId="4" xfId="0" applyNumberFormat="1" applyFont="1" applyFill="1" applyBorder="1" applyAlignment="1">
      <alignment horizontal="center" vertical="center"/>
    </xf>
    <xf numFmtId="176" fontId="8" fillId="7" borderId="14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1" fillId="8" borderId="0" xfId="0" applyFont="1" applyFill="1" applyAlignment="1"/>
    <xf numFmtId="0" fontId="1" fillId="0" borderId="0" xfId="0" applyFont="1" applyAlignment="1">
      <alignment horizontal="center" wrapText="1"/>
    </xf>
    <xf numFmtId="0" fontId="6" fillId="6" borderId="10" xfId="0" applyFont="1" applyFill="1" applyBorder="1" applyAlignment="1">
      <alignment horizontal="left"/>
    </xf>
    <xf numFmtId="0" fontId="3" fillId="7" borderId="14" xfId="0" applyFont="1" applyFill="1" applyBorder="1" applyAlignment="1">
      <alignment horizontal="left" wrapText="1"/>
    </xf>
    <xf numFmtId="0" fontId="3" fillId="7" borderId="12" xfId="0" applyFont="1" applyFill="1" applyBorder="1" applyAlignment="1">
      <alignment horizontal="left" wrapText="1"/>
    </xf>
    <xf numFmtId="176" fontId="8" fillId="7" borderId="9" xfId="0" applyNumberFormat="1" applyFont="1" applyFill="1" applyBorder="1" applyAlignment="1">
      <alignment horizontal="center" vertical="center"/>
    </xf>
    <xf numFmtId="176" fontId="8" fillId="7" borderId="11" xfId="0" applyNumberFormat="1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left" vertical="top" wrapText="1"/>
    </xf>
    <xf numFmtId="0" fontId="3" fillId="7" borderId="12" xfId="0" applyFont="1" applyFill="1" applyBorder="1" applyAlignment="1">
      <alignment horizontal="left" vertical="top" wrapText="1"/>
    </xf>
    <xf numFmtId="176" fontId="8" fillId="7" borderId="13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wrapText="1"/>
    </xf>
    <xf numFmtId="0" fontId="3" fillId="7" borderId="10" xfId="0" applyFont="1" applyFill="1" applyBorder="1" applyAlignment="1">
      <alignment horizontal="left" wrapText="1"/>
    </xf>
    <xf numFmtId="0" fontId="3" fillId="7" borderId="9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/>
    <xf numFmtId="6" fontId="8" fillId="0" borderId="0" xfId="0" applyNumberFormat="1" applyFont="1" applyAlignment="1"/>
    <xf numFmtId="0" fontId="2" fillId="3" borderId="1" xfId="0" applyFont="1" applyFill="1" applyBorder="1" applyAlignment="1">
      <alignment horizontal="center" wrapText="1"/>
    </xf>
    <xf numFmtId="6" fontId="2" fillId="3" borderId="1" xfId="0" applyNumberFormat="1" applyFont="1" applyFill="1" applyBorder="1" applyAlignment="1">
      <alignment horizontal="center" wrapText="1"/>
    </xf>
    <xf numFmtId="6" fontId="3" fillId="0" borderId="1" xfId="0" applyNumberFormat="1" applyFont="1" applyBorder="1" applyAlignment="1">
      <alignment horizontal="left"/>
    </xf>
    <xf numFmtId="6" fontId="3" fillId="4" borderId="1" xfId="0" applyNumberFormat="1" applyFont="1" applyFill="1" applyBorder="1" applyAlignment="1">
      <alignment horizontal="left"/>
    </xf>
    <xf numFmtId="6" fontId="8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7" borderId="4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176" fontId="8" fillId="7" borderId="2" xfId="0" applyNumberFormat="1" applyFont="1" applyFill="1" applyBorder="1" applyAlignment="1">
      <alignment horizontal="center" vertical="center" wrapText="1"/>
    </xf>
    <xf numFmtId="176" fontId="8" fillId="7" borderId="5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176" fontId="8" fillId="7" borderId="1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left" wrapText="1"/>
    </xf>
    <xf numFmtId="0" fontId="8" fillId="7" borderId="11" xfId="0" applyFont="1" applyFill="1" applyBorder="1" applyAlignment="1">
      <alignment horizontal="left" wrapText="1"/>
    </xf>
    <xf numFmtId="0" fontId="3" fillId="7" borderId="14" xfId="0" applyFont="1" applyFill="1" applyBorder="1" applyAlignment="1">
      <alignment wrapText="1"/>
    </xf>
    <xf numFmtId="0" fontId="8" fillId="7" borderId="11" xfId="0" applyFont="1" applyFill="1" applyBorder="1" applyAlignment="1">
      <alignment horizontal="left" vertical="top" wrapText="1"/>
    </xf>
    <xf numFmtId="176" fontId="8" fillId="7" borderId="10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left" vertical="top" wrapText="1"/>
    </xf>
    <xf numFmtId="176" fontId="8" fillId="7" borderId="12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1">
    <dxf>
      <font>
        <sz val="11"/>
      </font>
      <alignment horizontal="left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sz val="11"/>
      </font>
      <alignment horizontal="left"/>
    </dxf>
    <dxf>
      <font>
        <sz val="11"/>
      </font>
      <alignment horizontal="left"/>
    </dxf>
    <dxf>
      <numFmt numFmtId="6" formatCode="&quot;$&quot;#,##0_);[Red]\(&quot;$&quot;#,##0\)"/>
    </dxf>
    <dxf>
      <font>
        <sz val="11"/>
      </font>
      <alignment horizontal="left"/>
    </dxf>
    <dxf>
      <font>
        <sz val="11"/>
      </font>
      <alignment horizontal="left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sz val="11"/>
      </font>
      <alignment horizontal="left"/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Times New Roman"/>
        <scheme val="none"/>
      </font>
      <numFmt numFmtId="0" formatCode="General"/>
    </dxf>
    <dxf>
      <font>
        <name val="Times New Roman"/>
        <scheme val="none"/>
      </font>
      <numFmt numFmtId="0" formatCode="General"/>
    </dxf>
    <dxf>
      <font>
        <name val="Times New Roman"/>
        <scheme val="none"/>
      </font>
      <numFmt numFmtId="0" formatCode="General"/>
    </dxf>
    <dxf>
      <font>
        <name val="Times New Roman"/>
        <scheme val="none"/>
      </font>
      <numFmt numFmtId="8" formatCode="&quot;$&quot;#,##0.00_);[Red]\(&quot;$&quot;#,##0.00\)"/>
      <alignment vertical="top"/>
    </dxf>
    <dxf>
      <font>
        <name val="Times New Roman"/>
        <scheme val="none"/>
      </font>
      <numFmt numFmtId="180" formatCode="[$-409]d\-mmm;@"/>
    </dxf>
    <dxf>
      <font>
        <name val="Times New Roman"/>
        <scheme val="none"/>
      </font>
      <numFmt numFmtId="177" formatCode="0_);[Red]\(0\)"/>
    </dxf>
    <dxf>
      <font>
        <name val="Times New Roman"/>
        <scheme val="none"/>
      </font>
      <numFmt numFmtId="177" formatCode="0_);[Red]\(0\)"/>
    </dxf>
    <dxf>
      <font>
        <name val="Times New Roman"/>
        <scheme val="none"/>
      </font>
      <numFmt numFmtId="0" formatCode="General"/>
      <fill>
        <patternFill patternType="solid">
          <bgColor theme="7" tint="-0.25"/>
        </patternFill>
      </fill>
    </dxf>
    <dxf>
      <font>
        <name val="Times New Roman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30" totalsRowShown="0">
  <autoFilter ref="A1:I30"/>
  <tableColumns count="9">
    <tableColumn id="1" name="Product ID" dataDxfId="0"/>
    <tableColumn id="10" name="Column3" dataDxfId="1"/>
    <tableColumn id="2" name="Product Name" dataDxfId="2"/>
    <tableColumn id="3" name="Brand Name" dataDxfId="3"/>
    <tableColumn id="7" name="Price ($)" dataDxfId="4"/>
    <tableColumn id="4" name="Price ($)2" dataDxfId="5"/>
    <tableColumn id="5" name="Quantity" dataDxfId="6"/>
    <tableColumn id="9" name="Column2" dataDxfId="7"/>
    <tableColumn id="6" name="Category" dataDxfId="8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L29" totalsRowShown="0">
  <autoFilter ref="A1:L29"/>
  <tableColumns count="12">
    <tableColumn id="1" name="Product ID" dataDxfId="9"/>
    <tableColumn id="11" name="Country Code" dataDxfId="10"/>
    <tableColumn id="12" name="Product Brand" dataDxfId="11"/>
    <tableColumn id="2" name="Correcting inconsistent Data (Product Name)" dataDxfId="12"/>
    <tableColumn id="3" name="Product Name" dataDxfId="13"/>
    <tableColumn id="4" name="Brand Name" dataDxfId="14"/>
    <tableColumn id="5" name="Price  (Handling Missing Values)" dataDxfId="15"/>
    <tableColumn id="10" name="Manufacturing Date" dataDxfId="16"/>
    <tableColumn id="6" name="Price ($)" dataDxfId="17"/>
    <tableColumn id="7" name="Quantity" dataDxfId="18"/>
    <tableColumn id="8" name="Category (Handling Missing Values)" dataDxfId="19"/>
    <tableColumn id="9" name="Category" dataDxfId="20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999"/>
  <sheetViews>
    <sheetView tabSelected="1" workbookViewId="0">
      <selection activeCell="D13" sqref="D13"/>
    </sheetView>
  </sheetViews>
  <sheetFormatPr defaultColWidth="12.6285714285714" defaultRowHeight="15" customHeight="1"/>
  <cols>
    <col min="1" max="1" width="12.1428571428571" style="70" customWidth="1"/>
    <col min="2" max="2" width="22.5714285714286" style="70" customWidth="1"/>
    <col min="3" max="3" width="16" style="70" customWidth="1"/>
    <col min="4" max="4" width="12.6285714285714" style="70" customWidth="1"/>
    <col min="5" max="5" width="17.2857142857143" style="71" customWidth="1"/>
    <col min="6" max="6" width="14.5714285714286" style="70" customWidth="1"/>
    <col min="7" max="7" width="12.6285714285714" style="70" customWidth="1"/>
    <col min="8" max="8" width="20.4285714285714" style="70" customWidth="1"/>
    <col min="9" max="10" width="12.6285714285714" style="70"/>
    <col min="11" max="11" width="32" style="70" customWidth="1"/>
    <col min="12" max="12" width="14.5714285714286" style="70"/>
    <col min="13" max="13" width="30.8571428571429" style="70" customWidth="1"/>
    <col min="14" max="14" width="14.5714285714286" style="70"/>
    <col min="15" max="15" width="46" style="70" customWidth="1"/>
    <col min="16" max="16384" width="12.6285714285714" style="70"/>
  </cols>
  <sheetData>
    <row r="1" ht="41" customHeight="1" spans="1:15">
      <c r="A1" s="6" t="s">
        <v>0</v>
      </c>
      <c r="B1" s="72" t="s">
        <v>1</v>
      </c>
      <c r="C1" s="6" t="s">
        <v>2</v>
      </c>
      <c r="D1" s="6" t="s">
        <v>3</v>
      </c>
      <c r="E1" s="73" t="s">
        <v>4</v>
      </c>
      <c r="F1" s="6" t="s">
        <v>5</v>
      </c>
      <c r="G1" s="6" t="s">
        <v>6</v>
      </c>
      <c r="H1" s="72" t="s">
        <v>7</v>
      </c>
      <c r="I1" s="6" t="s">
        <v>8</v>
      </c>
      <c r="K1" s="24" t="s">
        <v>9</v>
      </c>
      <c r="L1" s="24"/>
      <c r="M1" s="24"/>
      <c r="N1" s="24"/>
      <c r="O1" s="24"/>
    </row>
    <row r="2" s="69" customFormat="1" ht="14.25" spans="1:15">
      <c r="A2" s="9" t="s">
        <v>10</v>
      </c>
      <c r="B2" s="9" t="str">
        <f t="shared" ref="B2:B29" si="0">PROPER(C2)</f>
        <v>Laptop</v>
      </c>
      <c r="C2" s="9" t="s">
        <v>11</v>
      </c>
      <c r="D2" s="9" t="s">
        <v>12</v>
      </c>
      <c r="E2" s="74">
        <f>IF(ISBLANK(F2),AVERAGE($F$2:$F$30),F2)</f>
        <v>1000</v>
      </c>
      <c r="F2" s="9">
        <v>1000</v>
      </c>
      <c r="G2" s="9">
        <v>30</v>
      </c>
      <c r="H2" s="9" t="str">
        <f t="shared" ref="H2:H29" si="1">IF(ISBLANK(I2),"Unknown",I2)</f>
        <v>Electronics</v>
      </c>
      <c r="I2" s="9" t="s">
        <v>13</v>
      </c>
      <c r="K2" s="24"/>
      <c r="L2" s="24"/>
      <c r="M2" s="24"/>
      <c r="N2" s="24"/>
      <c r="O2" s="24"/>
    </row>
    <row r="3" s="69" customFormat="1" ht="15.75" customHeight="1" spans="1:19">
      <c r="A3" s="12" t="s">
        <v>14</v>
      </c>
      <c r="B3" s="12" t="str">
        <f t="shared" si="0"/>
        <v>Sneakers</v>
      </c>
      <c r="C3" s="12" t="s">
        <v>15</v>
      </c>
      <c r="D3" s="12" t="s">
        <v>16</v>
      </c>
      <c r="E3" s="75">
        <f t="shared" ref="E3:E29" si="2">IF(ISBLANK(F3),AVERAGE($F$2:$F$30),F3)</f>
        <v>80</v>
      </c>
      <c r="F3" s="12">
        <v>80</v>
      </c>
      <c r="G3" s="12">
        <v>15</v>
      </c>
      <c r="H3" s="12" t="str">
        <f t="shared" si="1"/>
        <v>Fashion</v>
      </c>
      <c r="I3" s="12" t="s">
        <v>17</v>
      </c>
      <c r="J3" s="77"/>
      <c r="K3" s="25" t="s">
        <v>18</v>
      </c>
      <c r="L3" s="26"/>
      <c r="M3" s="26"/>
      <c r="N3" s="26"/>
      <c r="O3" s="57"/>
      <c r="P3" s="77"/>
      <c r="Q3" s="77"/>
      <c r="R3" s="77"/>
      <c r="S3" s="77"/>
    </row>
    <row r="4" s="69" customFormat="1" ht="15.75" customHeight="1" spans="1:19">
      <c r="A4" s="9" t="s">
        <v>19</v>
      </c>
      <c r="B4" s="9" t="str">
        <f t="shared" si="0"/>
        <v>Coffee Maker</v>
      </c>
      <c r="C4" s="9" t="s">
        <v>20</v>
      </c>
      <c r="D4" s="9" t="s">
        <v>21</v>
      </c>
      <c r="E4" s="74">
        <f t="shared" si="2"/>
        <v>130</v>
      </c>
      <c r="F4" s="9">
        <v>130</v>
      </c>
      <c r="G4" s="9">
        <v>40</v>
      </c>
      <c r="H4" s="9" t="str">
        <f t="shared" si="1"/>
        <v>Kitchen</v>
      </c>
      <c r="I4" s="9" t="s">
        <v>22</v>
      </c>
      <c r="J4" s="77"/>
      <c r="K4" s="27" t="s">
        <v>23</v>
      </c>
      <c r="L4" s="28"/>
      <c r="M4" s="28"/>
      <c r="N4" s="28"/>
      <c r="O4" s="58"/>
      <c r="P4" s="77"/>
      <c r="Q4" s="77"/>
      <c r="R4" s="77"/>
      <c r="S4" s="77"/>
    </row>
    <row r="5" s="69" customFormat="1" ht="15.75" customHeight="1" spans="1:19">
      <c r="A5" s="12" t="s">
        <v>24</v>
      </c>
      <c r="B5" s="12" t="str">
        <f t="shared" si="0"/>
        <v>Smartphone</v>
      </c>
      <c r="C5" s="12" t="s">
        <v>25</v>
      </c>
      <c r="D5" s="12" t="s">
        <v>26</v>
      </c>
      <c r="E5" s="75">
        <f t="shared" si="2"/>
        <v>900</v>
      </c>
      <c r="F5" s="12">
        <v>900</v>
      </c>
      <c r="G5" s="12">
        <v>25</v>
      </c>
      <c r="H5" s="12" t="str">
        <f t="shared" si="1"/>
        <v>Electronics</v>
      </c>
      <c r="I5" s="12" t="s">
        <v>13</v>
      </c>
      <c r="J5" s="77"/>
      <c r="K5" s="29" t="s">
        <v>27</v>
      </c>
      <c r="L5" s="30"/>
      <c r="M5" s="30"/>
      <c r="N5" s="30"/>
      <c r="O5" s="59"/>
      <c r="P5" s="77"/>
      <c r="Q5" s="77"/>
      <c r="R5" s="77"/>
      <c r="S5" s="77"/>
    </row>
    <row r="6" s="69" customFormat="1" ht="15.75" customHeight="1" spans="1:15">
      <c r="A6" s="9" t="s">
        <v>28</v>
      </c>
      <c r="B6" s="9" t="str">
        <f t="shared" si="0"/>
        <v>Backpack</v>
      </c>
      <c r="C6" s="9" t="s">
        <v>29</v>
      </c>
      <c r="D6" s="9" t="s">
        <v>30</v>
      </c>
      <c r="E6" s="74">
        <f t="shared" si="2"/>
        <v>70</v>
      </c>
      <c r="F6" s="9">
        <v>70</v>
      </c>
      <c r="G6" s="9">
        <v>20</v>
      </c>
      <c r="H6" s="9" t="str">
        <f t="shared" si="1"/>
        <v>Unknown</v>
      </c>
      <c r="I6" s="9"/>
      <c r="K6" s="31" t="s">
        <v>31</v>
      </c>
      <c r="L6" s="32" t="s">
        <v>32</v>
      </c>
      <c r="M6" s="33"/>
      <c r="N6" s="31" t="s">
        <v>33</v>
      </c>
      <c r="O6" s="31" t="s">
        <v>34</v>
      </c>
    </row>
    <row r="7" s="69" customFormat="1" ht="15.75" customHeight="1" spans="1:15">
      <c r="A7" s="12" t="s">
        <v>35</v>
      </c>
      <c r="B7" s="12" t="str">
        <f t="shared" si="0"/>
        <v>Headphones</v>
      </c>
      <c r="C7" s="12" t="s">
        <v>36</v>
      </c>
      <c r="D7" s="12" t="s">
        <v>37</v>
      </c>
      <c r="E7" s="76">
        <f t="shared" si="2"/>
        <v>283.6</v>
      </c>
      <c r="G7" s="12">
        <v>45</v>
      </c>
      <c r="H7" s="12" t="str">
        <f t="shared" si="1"/>
        <v>Electronics</v>
      </c>
      <c r="I7" s="12" t="s">
        <v>13</v>
      </c>
      <c r="K7" s="34" t="s">
        <v>38</v>
      </c>
      <c r="L7" s="35" t="s">
        <v>39</v>
      </c>
      <c r="M7" s="36"/>
      <c r="N7" s="60">
        <f>IF(ISBLANK(#REF!),AVERAGE($F$2:$F$29),F2)</f>
        <v>1000</v>
      </c>
      <c r="O7" s="84" t="s">
        <v>40</v>
      </c>
    </row>
    <row r="8" s="69" customFormat="1" ht="15.75" customHeight="1" spans="1:15">
      <c r="A8" s="9" t="s">
        <v>41</v>
      </c>
      <c r="B8" s="9" t="str">
        <f t="shared" si="0"/>
        <v>T-Shirt</v>
      </c>
      <c r="C8" s="9" t="s">
        <v>42</v>
      </c>
      <c r="D8" s="9" t="s">
        <v>43</v>
      </c>
      <c r="E8" s="74">
        <f t="shared" si="2"/>
        <v>30</v>
      </c>
      <c r="F8" s="9">
        <v>30</v>
      </c>
      <c r="G8" s="9">
        <v>5</v>
      </c>
      <c r="H8" s="9" t="str">
        <f t="shared" si="1"/>
        <v>Fashion</v>
      </c>
      <c r="I8" s="9" t="s">
        <v>17</v>
      </c>
      <c r="K8" s="37"/>
      <c r="L8" s="38"/>
      <c r="M8" s="39"/>
      <c r="N8" s="61"/>
      <c r="O8" s="85"/>
    </row>
    <row r="9" s="69" customFormat="1" ht="15.75" customHeight="1" spans="1:15">
      <c r="A9" s="12" t="s">
        <v>44</v>
      </c>
      <c r="B9" s="12" t="str">
        <f t="shared" si="0"/>
        <v>Blender</v>
      </c>
      <c r="C9" s="12" t="s">
        <v>45</v>
      </c>
      <c r="D9" s="12" t="s">
        <v>46</v>
      </c>
      <c r="E9" s="75">
        <f t="shared" si="2"/>
        <v>90</v>
      </c>
      <c r="F9" s="12">
        <v>90</v>
      </c>
      <c r="G9" s="12">
        <v>35</v>
      </c>
      <c r="H9" s="12" t="str">
        <f t="shared" si="1"/>
        <v>Kitchen</v>
      </c>
      <c r="I9" s="12" t="s">
        <v>22</v>
      </c>
      <c r="K9" s="78" t="s">
        <v>47</v>
      </c>
      <c r="L9" s="79"/>
      <c r="M9" s="79"/>
      <c r="N9" s="79"/>
      <c r="O9" s="86"/>
    </row>
    <row r="10" s="69" customFormat="1" ht="15.75" customHeight="1" spans="1:15">
      <c r="A10" s="9" t="s">
        <v>48</v>
      </c>
      <c r="B10" s="9" t="str">
        <f t="shared" si="0"/>
        <v>Tablet</v>
      </c>
      <c r="C10" s="9" t="s">
        <v>49</v>
      </c>
      <c r="D10" s="9" t="s">
        <v>50</v>
      </c>
      <c r="E10" s="74">
        <f t="shared" si="2"/>
        <v>500</v>
      </c>
      <c r="F10" s="9">
        <v>500</v>
      </c>
      <c r="G10" s="9">
        <v>50</v>
      </c>
      <c r="H10" s="9" t="str">
        <f t="shared" si="1"/>
        <v>Electronics</v>
      </c>
      <c r="I10" s="9" t="s">
        <v>13</v>
      </c>
      <c r="K10" s="29" t="s">
        <v>51</v>
      </c>
      <c r="L10" s="30"/>
      <c r="M10" s="30"/>
      <c r="N10" s="30"/>
      <c r="O10" s="59"/>
    </row>
    <row r="11" s="69" customFormat="1" ht="14.25" spans="1:15">
      <c r="A11" s="12" t="s">
        <v>52</v>
      </c>
      <c r="B11" s="12" t="str">
        <f t="shared" si="0"/>
        <v>Hiking Boots</v>
      </c>
      <c r="C11" s="12" t="s">
        <v>53</v>
      </c>
      <c r="D11" s="12" t="s">
        <v>54</v>
      </c>
      <c r="E11" s="75">
        <f t="shared" si="2"/>
        <v>130</v>
      </c>
      <c r="F11" s="12">
        <v>130</v>
      </c>
      <c r="G11" s="12">
        <v>10</v>
      </c>
      <c r="H11" s="12" t="str">
        <f t="shared" si="1"/>
        <v>Outdoor</v>
      </c>
      <c r="I11" s="12" t="s">
        <v>55</v>
      </c>
      <c r="K11" s="31" t="s">
        <v>31</v>
      </c>
      <c r="L11" s="32" t="s">
        <v>32</v>
      </c>
      <c r="M11" s="33"/>
      <c r="N11" s="31" t="s">
        <v>33</v>
      </c>
      <c r="O11" s="31" t="s">
        <v>34</v>
      </c>
    </row>
    <row r="12" s="69" customFormat="1" ht="28.5" spans="1:15">
      <c r="A12" s="12" t="s">
        <v>56</v>
      </c>
      <c r="B12" s="12" t="str">
        <f t="shared" si="0"/>
        <v>Sneakers</v>
      </c>
      <c r="C12" s="12" t="s">
        <v>15</v>
      </c>
      <c r="D12" s="12" t="s">
        <v>43</v>
      </c>
      <c r="E12" s="75">
        <f t="shared" si="2"/>
        <v>90</v>
      </c>
      <c r="F12" s="12">
        <v>90</v>
      </c>
      <c r="G12" s="12">
        <v>40</v>
      </c>
      <c r="H12" s="12" t="str">
        <f t="shared" si="1"/>
        <v>Unknown</v>
      </c>
      <c r="I12" s="12"/>
      <c r="K12" s="37" t="s">
        <v>57</v>
      </c>
      <c r="L12" s="38" t="s">
        <v>58</v>
      </c>
      <c r="M12" s="39"/>
      <c r="N12" s="61" t="str">
        <f>IF(ISBLANK(I6),"Unknwn",I6)</f>
        <v>Unknwn</v>
      </c>
      <c r="O12" s="87" t="s">
        <v>59</v>
      </c>
    </row>
    <row r="13" s="69" customFormat="1" ht="15.75" customHeight="1" spans="1:15">
      <c r="A13" s="9" t="s">
        <v>60</v>
      </c>
      <c r="B13" s="9" t="str">
        <f t="shared" si="0"/>
        <v>Coffee Maker</v>
      </c>
      <c r="C13" s="9" t="s">
        <v>20</v>
      </c>
      <c r="D13" s="9" t="s">
        <v>61</v>
      </c>
      <c r="E13" s="74">
        <f t="shared" si="2"/>
        <v>120</v>
      </c>
      <c r="F13" s="9">
        <v>120</v>
      </c>
      <c r="G13" s="9">
        <v>35</v>
      </c>
      <c r="H13" s="9" t="str">
        <f t="shared" si="1"/>
        <v>Unknown</v>
      </c>
      <c r="I13" s="9"/>
      <c r="K13" s="25" t="s">
        <v>62</v>
      </c>
      <c r="L13" s="26"/>
      <c r="M13" s="26"/>
      <c r="N13" s="26"/>
      <c r="O13" s="57"/>
    </row>
    <row r="14" s="69" customFormat="1" ht="15.75" customHeight="1" spans="1:15">
      <c r="A14" s="12" t="s">
        <v>63</v>
      </c>
      <c r="B14" s="12" t="str">
        <f t="shared" si="0"/>
        <v>Smartwatch</v>
      </c>
      <c r="C14" s="12" t="s">
        <v>64</v>
      </c>
      <c r="D14" s="12" t="s">
        <v>65</v>
      </c>
      <c r="E14" s="75">
        <f t="shared" si="2"/>
        <v>150</v>
      </c>
      <c r="F14" s="12">
        <v>150</v>
      </c>
      <c r="G14" s="12">
        <v>15</v>
      </c>
      <c r="H14" s="12" t="str">
        <f t="shared" si="1"/>
        <v>Electronics</v>
      </c>
      <c r="I14" s="12" t="s">
        <v>13</v>
      </c>
      <c r="K14" s="27" t="s">
        <v>66</v>
      </c>
      <c r="L14" s="28"/>
      <c r="M14" s="28"/>
      <c r="N14" s="28"/>
      <c r="O14" s="58"/>
    </row>
    <row r="15" s="69" customFormat="1" ht="15.75" customHeight="1" spans="1:15">
      <c r="A15" s="9" t="s">
        <v>67</v>
      </c>
      <c r="B15" s="9" t="str">
        <f t="shared" si="0"/>
        <v>Smartwatch</v>
      </c>
      <c r="C15" s="9" t="s">
        <v>64</v>
      </c>
      <c r="D15" s="9" t="s">
        <v>68</v>
      </c>
      <c r="E15" s="74">
        <f t="shared" si="2"/>
        <v>160</v>
      </c>
      <c r="F15" s="9">
        <v>160</v>
      </c>
      <c r="G15" s="9">
        <v>15</v>
      </c>
      <c r="H15" s="9" t="str">
        <f t="shared" si="1"/>
        <v>Electronics</v>
      </c>
      <c r="I15" s="9" t="s">
        <v>13</v>
      </c>
      <c r="K15" s="29" t="s">
        <v>69</v>
      </c>
      <c r="L15" s="30"/>
      <c r="M15" s="30"/>
      <c r="N15" s="30"/>
      <c r="O15" s="59"/>
    </row>
    <row r="16" s="69" customFormat="1" ht="15.75" customHeight="1" spans="1:15">
      <c r="A16" s="12" t="s">
        <v>70</v>
      </c>
      <c r="B16" s="12" t="str">
        <f t="shared" si="0"/>
        <v>Laptop</v>
      </c>
      <c r="C16" s="12" t="s">
        <v>11</v>
      </c>
      <c r="D16" s="12" t="s">
        <v>71</v>
      </c>
      <c r="E16" s="75">
        <f t="shared" si="2"/>
        <v>980</v>
      </c>
      <c r="F16" s="12">
        <v>980</v>
      </c>
      <c r="G16" s="12">
        <v>10</v>
      </c>
      <c r="H16" s="12" t="str">
        <f t="shared" si="1"/>
        <v>Electronics</v>
      </c>
      <c r="I16" s="12" t="s">
        <v>13</v>
      </c>
      <c r="K16" s="31" t="s">
        <v>31</v>
      </c>
      <c r="L16" s="32" t="s">
        <v>32</v>
      </c>
      <c r="M16" s="33"/>
      <c r="N16" s="31" t="s">
        <v>33</v>
      </c>
      <c r="O16" s="31" t="s">
        <v>34</v>
      </c>
    </row>
    <row r="17" s="69" customFormat="1" ht="15.75" customHeight="1" spans="1:15">
      <c r="A17" s="9" t="s">
        <v>72</v>
      </c>
      <c r="B17" s="9" t="str">
        <f t="shared" si="0"/>
        <v>Sunglasses</v>
      </c>
      <c r="C17" s="9" t="s">
        <v>73</v>
      </c>
      <c r="D17" s="9" t="s">
        <v>74</v>
      </c>
      <c r="E17" s="74">
        <f t="shared" si="2"/>
        <v>150</v>
      </c>
      <c r="F17" s="9">
        <v>150</v>
      </c>
      <c r="G17" s="9">
        <v>15</v>
      </c>
      <c r="H17" s="9" t="str">
        <f t="shared" si="1"/>
        <v>Fashion</v>
      </c>
      <c r="I17" s="9" t="s">
        <v>17</v>
      </c>
      <c r="K17" s="34" t="s">
        <v>75</v>
      </c>
      <c r="L17" s="35" t="s">
        <v>76</v>
      </c>
      <c r="M17" s="36"/>
      <c r="N17" s="60" t="str">
        <f>PROPER(C2)</f>
        <v>Laptop</v>
      </c>
      <c r="O17" s="84" t="s">
        <v>77</v>
      </c>
    </row>
    <row r="18" s="69" customFormat="1" ht="15.75" customHeight="1" spans="1:15">
      <c r="A18" s="12" t="s">
        <v>78</v>
      </c>
      <c r="B18" s="12" t="str">
        <f t="shared" si="0"/>
        <v>Camping Tent</v>
      </c>
      <c r="C18" s="12" t="s">
        <v>79</v>
      </c>
      <c r="D18" s="12" t="s">
        <v>80</v>
      </c>
      <c r="E18" s="75">
        <f t="shared" si="2"/>
        <v>283.6</v>
      </c>
      <c r="F18" s="12"/>
      <c r="G18" s="12">
        <v>10</v>
      </c>
      <c r="H18" s="12" t="str">
        <f t="shared" si="1"/>
        <v>Outdoor</v>
      </c>
      <c r="I18" s="12" t="s">
        <v>55</v>
      </c>
      <c r="K18" s="37"/>
      <c r="L18" s="38"/>
      <c r="M18" s="39"/>
      <c r="N18" s="61"/>
      <c r="O18" s="85"/>
    </row>
    <row r="19" s="69" customFormat="1" ht="15.75" customHeight="1" spans="1:15">
      <c r="A19" s="9" t="s">
        <v>81</v>
      </c>
      <c r="B19" s="9" t="str">
        <f t="shared" si="0"/>
        <v>Camera</v>
      </c>
      <c r="C19" s="9" t="s">
        <v>82</v>
      </c>
      <c r="D19" s="9" t="s">
        <v>83</v>
      </c>
      <c r="E19" s="74">
        <f t="shared" si="2"/>
        <v>700</v>
      </c>
      <c r="F19" s="9">
        <v>700</v>
      </c>
      <c r="G19" s="9">
        <v>50</v>
      </c>
      <c r="H19" s="9" t="str">
        <f t="shared" si="1"/>
        <v>Electronics</v>
      </c>
      <c r="I19" s="9" t="s">
        <v>13</v>
      </c>
      <c r="K19" s="27" t="s">
        <v>84</v>
      </c>
      <c r="L19" s="28"/>
      <c r="M19" s="28"/>
      <c r="N19" s="79"/>
      <c r="O19" s="86"/>
    </row>
    <row r="20" s="69" customFormat="1" ht="15.75" customHeight="1" spans="1:15">
      <c r="A20" s="12" t="s">
        <v>85</v>
      </c>
      <c r="B20" s="12" t="str">
        <f t="shared" si="0"/>
        <v>Microwave</v>
      </c>
      <c r="C20" s="12" t="s">
        <v>86</v>
      </c>
      <c r="D20" s="12" t="s">
        <v>87</v>
      </c>
      <c r="E20" s="75">
        <f t="shared" si="2"/>
        <v>80</v>
      </c>
      <c r="F20" s="12">
        <v>80</v>
      </c>
      <c r="G20" s="12">
        <v>20</v>
      </c>
      <c r="H20" s="12" t="str">
        <f t="shared" si="1"/>
        <v>Kitchen</v>
      </c>
      <c r="I20" s="12" t="s">
        <v>22</v>
      </c>
      <c r="K20" s="29" t="s">
        <v>88</v>
      </c>
      <c r="L20" s="30"/>
      <c r="M20" s="30"/>
      <c r="N20" s="30"/>
      <c r="O20" s="59"/>
    </row>
    <row r="21" s="69" customFormat="1" ht="15.75" customHeight="1" spans="1:15">
      <c r="A21" s="9" t="s">
        <v>89</v>
      </c>
      <c r="B21" s="9" t="str">
        <f t="shared" si="0"/>
        <v>Fitness Tracker</v>
      </c>
      <c r="C21" s="9" t="s">
        <v>90</v>
      </c>
      <c r="D21" s="9" t="s">
        <v>91</v>
      </c>
      <c r="E21" s="74">
        <f t="shared" si="2"/>
        <v>150</v>
      </c>
      <c r="F21" s="9">
        <v>150</v>
      </c>
      <c r="G21" s="9">
        <v>30</v>
      </c>
      <c r="H21" s="9" t="str">
        <f t="shared" si="1"/>
        <v>Unknown</v>
      </c>
      <c r="I21" s="9"/>
      <c r="K21" s="31" t="s">
        <v>31</v>
      </c>
      <c r="L21" s="32" t="s">
        <v>32</v>
      </c>
      <c r="M21" s="33"/>
      <c r="N21" s="31" t="s">
        <v>33</v>
      </c>
      <c r="O21" s="31" t="s">
        <v>34</v>
      </c>
    </row>
    <row r="22" s="69" customFormat="1" ht="15.75" customHeight="1" spans="1:15">
      <c r="A22" s="9" t="s">
        <v>92</v>
      </c>
      <c r="B22" s="9" t="str">
        <f t="shared" si="0"/>
        <v>Smartphone</v>
      </c>
      <c r="C22" s="9" t="s">
        <v>93</v>
      </c>
      <c r="D22" s="9" t="s">
        <v>94</v>
      </c>
      <c r="E22" s="74">
        <f t="shared" si="2"/>
        <v>800</v>
      </c>
      <c r="F22" s="9">
        <v>800</v>
      </c>
      <c r="G22" s="9">
        <v>45</v>
      </c>
      <c r="H22" s="9" t="str">
        <f t="shared" si="1"/>
        <v>Electronics</v>
      </c>
      <c r="I22" s="9" t="s">
        <v>13</v>
      </c>
      <c r="K22" s="34" t="s">
        <v>95</v>
      </c>
      <c r="L22" s="80" t="s">
        <v>96</v>
      </c>
      <c r="M22" s="88"/>
      <c r="N22" s="60" t="s">
        <v>13</v>
      </c>
      <c r="O22" s="89" t="s">
        <v>97</v>
      </c>
    </row>
    <row r="23" s="69" customFormat="1" ht="15.75" customHeight="1" spans="1:15">
      <c r="A23" s="12" t="s">
        <v>98</v>
      </c>
      <c r="B23" s="12" t="str">
        <f t="shared" si="0"/>
        <v>Sunglasses</v>
      </c>
      <c r="C23" s="12" t="s">
        <v>73</v>
      </c>
      <c r="D23" s="12" t="s">
        <v>99</v>
      </c>
      <c r="E23" s="75">
        <f t="shared" si="2"/>
        <v>283.6</v>
      </c>
      <c r="F23" s="12"/>
      <c r="G23" s="12">
        <v>25</v>
      </c>
      <c r="H23" s="12" t="str">
        <f t="shared" si="1"/>
        <v>Fashion</v>
      </c>
      <c r="I23" s="12" t="s">
        <v>17</v>
      </c>
      <c r="K23" s="37"/>
      <c r="L23" s="81"/>
      <c r="M23" s="90"/>
      <c r="N23" s="61"/>
      <c r="O23" s="87"/>
    </row>
    <row r="24" s="69" customFormat="1" ht="15.75" customHeight="1" spans="1:15">
      <c r="A24" s="9" t="s">
        <v>100</v>
      </c>
      <c r="B24" s="9" t="str">
        <f t="shared" si="0"/>
        <v>Blender</v>
      </c>
      <c r="C24" s="9" t="s">
        <v>45</v>
      </c>
      <c r="D24" s="9" t="s">
        <v>101</v>
      </c>
      <c r="E24" s="74">
        <f t="shared" si="2"/>
        <v>400</v>
      </c>
      <c r="F24" s="9">
        <v>400</v>
      </c>
      <c r="G24" s="9">
        <v>40</v>
      </c>
      <c r="H24" s="9" t="str">
        <f t="shared" si="1"/>
        <v>Kitchen</v>
      </c>
      <c r="I24" s="9" t="s">
        <v>22</v>
      </c>
      <c r="K24" s="25" t="s">
        <v>102</v>
      </c>
      <c r="L24" s="26"/>
      <c r="M24" s="26"/>
      <c r="N24" s="26"/>
      <c r="O24" s="57"/>
    </row>
    <row r="25" s="69" customFormat="1" ht="15.75" customHeight="1" spans="1:15">
      <c r="A25" s="9" t="s">
        <v>103</v>
      </c>
      <c r="B25" s="9" t="str">
        <f t="shared" si="0"/>
        <v>Dress</v>
      </c>
      <c r="C25" s="9" t="s">
        <v>104</v>
      </c>
      <c r="D25" s="9" t="s">
        <v>105</v>
      </c>
      <c r="E25" s="74">
        <f t="shared" si="2"/>
        <v>60</v>
      </c>
      <c r="F25" s="9">
        <v>60</v>
      </c>
      <c r="G25" s="9">
        <v>30</v>
      </c>
      <c r="H25" s="9" t="str">
        <f t="shared" si="1"/>
        <v>Fashion</v>
      </c>
      <c r="I25" s="9" t="s">
        <v>17</v>
      </c>
      <c r="K25" s="27" t="s">
        <v>106</v>
      </c>
      <c r="L25" s="28"/>
      <c r="M25" s="28"/>
      <c r="N25" s="28"/>
      <c r="O25" s="58"/>
    </row>
    <row r="26" s="69" customFormat="1" ht="15.75" customHeight="1" spans="1:15">
      <c r="A26" s="12" t="s">
        <v>107</v>
      </c>
      <c r="B26" s="12" t="str">
        <f t="shared" si="0"/>
        <v>Toaster</v>
      </c>
      <c r="C26" s="12" t="s">
        <v>108</v>
      </c>
      <c r="D26" s="12" t="s">
        <v>109</v>
      </c>
      <c r="E26" s="75">
        <f t="shared" si="2"/>
        <v>40</v>
      </c>
      <c r="F26" s="12">
        <v>40</v>
      </c>
      <c r="G26" s="12">
        <v>10</v>
      </c>
      <c r="H26" s="12" t="str">
        <f t="shared" si="1"/>
        <v>Kitchen</v>
      </c>
      <c r="I26" s="12" t="s">
        <v>22</v>
      </c>
      <c r="K26" s="29"/>
      <c r="L26" s="30"/>
      <c r="M26" s="30"/>
      <c r="N26" s="30"/>
      <c r="O26" s="59"/>
    </row>
    <row r="27" s="69" customFormat="1" ht="15.75" customHeight="1" spans="1:15">
      <c r="A27" s="9" t="s">
        <v>110</v>
      </c>
      <c r="B27" s="9" t="str">
        <f t="shared" si="0"/>
        <v>Fitness Tracker</v>
      </c>
      <c r="C27" s="9" t="s">
        <v>90</v>
      </c>
      <c r="D27" s="9" t="s">
        <v>111</v>
      </c>
      <c r="E27" s="74">
        <f t="shared" si="2"/>
        <v>130</v>
      </c>
      <c r="F27" s="9">
        <v>130</v>
      </c>
      <c r="G27" s="9">
        <v>5</v>
      </c>
      <c r="H27" s="9" t="str">
        <f t="shared" si="1"/>
        <v>Electronics</v>
      </c>
      <c r="I27" s="9" t="s">
        <v>13</v>
      </c>
      <c r="K27" s="31" t="s">
        <v>31</v>
      </c>
      <c r="L27" s="32" t="s">
        <v>32</v>
      </c>
      <c r="M27" s="33"/>
      <c r="N27" s="31" t="s">
        <v>33</v>
      </c>
      <c r="O27" s="31" t="s">
        <v>34</v>
      </c>
    </row>
    <row r="28" s="69" customFormat="1" ht="15.75" customHeight="1" spans="1:15">
      <c r="A28" s="12" t="s">
        <v>112</v>
      </c>
      <c r="B28" s="12" t="str">
        <f t="shared" si="0"/>
        <v>Jeans</v>
      </c>
      <c r="C28" s="12" t="s">
        <v>113</v>
      </c>
      <c r="D28" s="12" t="s">
        <v>114</v>
      </c>
      <c r="E28" s="75">
        <f t="shared" si="2"/>
        <v>50</v>
      </c>
      <c r="F28" s="12">
        <v>50</v>
      </c>
      <c r="G28" s="12">
        <v>50</v>
      </c>
      <c r="H28" s="12" t="str">
        <f t="shared" si="1"/>
        <v>Fashion</v>
      </c>
      <c r="I28" s="12" t="s">
        <v>17</v>
      </c>
      <c r="K28" s="82" t="s">
        <v>115</v>
      </c>
      <c r="L28" s="83" t="s">
        <v>116</v>
      </c>
      <c r="M28" s="83"/>
      <c r="N28" s="83" t="s">
        <v>117</v>
      </c>
      <c r="O28" s="91" t="s">
        <v>118</v>
      </c>
    </row>
    <row r="29" s="69" customFormat="1" ht="15.75" customHeight="1" spans="1:15">
      <c r="A29" s="9" t="s">
        <v>119</v>
      </c>
      <c r="B29" s="9" t="str">
        <f t="shared" si="0"/>
        <v>Watch</v>
      </c>
      <c r="C29" s="9" t="s">
        <v>120</v>
      </c>
      <c r="D29" s="9" t="s">
        <v>121</v>
      </c>
      <c r="E29" s="74">
        <f t="shared" si="2"/>
        <v>100</v>
      </c>
      <c r="F29" s="9">
        <v>100</v>
      </c>
      <c r="G29" s="9">
        <v>20</v>
      </c>
      <c r="H29" s="9" t="str">
        <f t="shared" si="1"/>
        <v>Accessories</v>
      </c>
      <c r="I29" s="9" t="s">
        <v>122</v>
      </c>
      <c r="K29" s="82"/>
      <c r="L29" s="83"/>
      <c r="M29" s="83"/>
      <c r="N29" s="83"/>
      <c r="O29" s="91"/>
    </row>
    <row r="30" s="69" customFormat="1" ht="15.75" customHeight="1" spans="5:6">
      <c r="E30" s="76"/>
      <c r="F30" s="69">
        <f>AVERAGE(F2:F29)</f>
        <v>283.6</v>
      </c>
    </row>
    <row r="31" s="69" customFormat="1" ht="15.75" customHeight="1" spans="1:9">
      <c r="A31" s="70"/>
      <c r="B31" s="70"/>
      <c r="C31" s="70"/>
      <c r="D31" s="70"/>
      <c r="E31" s="71"/>
      <c r="F31" s="70"/>
      <c r="G31" s="70"/>
      <c r="H31" s="70"/>
      <c r="I31" s="70"/>
    </row>
    <row r="32" s="69" customFormat="1" ht="15.75" customHeight="1" spans="1:9">
      <c r="A32" s="70"/>
      <c r="B32" s="70"/>
      <c r="C32" s="70"/>
      <c r="D32" s="70"/>
      <c r="E32" s="71"/>
      <c r="F32" s="70"/>
      <c r="G32" s="70"/>
      <c r="H32" s="70"/>
      <c r="I32" s="70"/>
    </row>
    <row r="33" s="69" customFormat="1" ht="15.75" customHeight="1" spans="1:9">
      <c r="A33" s="70"/>
      <c r="B33" s="70"/>
      <c r="C33" s="70"/>
      <c r="D33" s="70"/>
      <c r="E33" s="71"/>
      <c r="F33" s="70"/>
      <c r="G33" s="70"/>
      <c r="H33" s="70"/>
      <c r="I33" s="70"/>
    </row>
    <row r="34" s="69" customFormat="1" ht="15.75" customHeight="1" spans="1:9">
      <c r="A34" s="70"/>
      <c r="B34" s="70"/>
      <c r="C34" s="70"/>
      <c r="D34" s="70"/>
      <c r="E34" s="71"/>
      <c r="F34" s="70"/>
      <c r="G34" s="70"/>
      <c r="H34" s="70"/>
      <c r="I34" s="70"/>
    </row>
    <row r="35" ht="15.75" customHeight="1" spans="10:15">
      <c r="J35" s="69"/>
      <c r="K35" s="69"/>
      <c r="L35" s="69"/>
      <c r="M35" s="69"/>
      <c r="N35" s="69"/>
      <c r="O35" s="69"/>
    </row>
    <row r="36" ht="15.75" customHeight="1" spans="10:15">
      <c r="J36" s="69"/>
      <c r="K36" s="69"/>
      <c r="L36" s="69"/>
      <c r="M36" s="69"/>
      <c r="N36" s="69"/>
      <c r="O36" s="69"/>
    </row>
    <row r="37" ht="15.75" customHeight="1" spans="10:15">
      <c r="J37" s="69"/>
      <c r="K37" s="69"/>
      <c r="L37" s="69"/>
      <c r="M37" s="69"/>
      <c r="N37" s="69"/>
      <c r="O37" s="69"/>
    </row>
    <row r="38" ht="15.75" customHeight="1" spans="10:15">
      <c r="J38" s="69"/>
      <c r="K38" s="69"/>
      <c r="L38" s="69"/>
      <c r="M38" s="69"/>
      <c r="N38" s="69"/>
      <c r="O38" s="69"/>
    </row>
    <row r="39" ht="15.75" customHeight="1" spans="10:15">
      <c r="J39" s="69"/>
      <c r="K39" s="69"/>
      <c r="L39" s="69"/>
      <c r="M39" s="69"/>
      <c r="N39" s="69"/>
      <c r="O39" s="69"/>
    </row>
    <row r="40" ht="15.75" customHeight="1" spans="10:15">
      <c r="J40" s="69"/>
      <c r="K40" s="69"/>
      <c r="L40" s="69"/>
      <c r="M40" s="69"/>
      <c r="N40" s="69"/>
      <c r="O40" s="69"/>
    </row>
    <row r="41" ht="15.75" customHeight="1" spans="10:15">
      <c r="J41" s="69"/>
      <c r="K41" s="69"/>
      <c r="L41" s="69"/>
      <c r="M41" s="69"/>
      <c r="N41" s="69"/>
      <c r="O41" s="69"/>
    </row>
    <row r="42" ht="15.75" customHeight="1" spans="10:15">
      <c r="J42" s="69"/>
      <c r="K42" s="69"/>
      <c r="L42" s="69"/>
      <c r="M42" s="69"/>
      <c r="N42" s="69"/>
      <c r="O42" s="69"/>
    </row>
    <row r="43" ht="15.75" customHeight="1" spans="10:15">
      <c r="J43" s="69"/>
      <c r="K43" s="69"/>
      <c r="L43" s="69"/>
      <c r="M43" s="69"/>
      <c r="N43" s="69"/>
      <c r="O43" s="69"/>
    </row>
    <row r="44" ht="15.75" customHeight="1" spans="10:15">
      <c r="J44" s="69"/>
      <c r="K44" s="69"/>
      <c r="L44" s="69"/>
      <c r="M44" s="69"/>
      <c r="N44" s="69"/>
      <c r="O44" s="69"/>
    </row>
    <row r="45" ht="15.75" customHeight="1" spans="10:15">
      <c r="J45" s="69"/>
      <c r="K45" s="69"/>
      <c r="L45" s="69"/>
      <c r="M45" s="69"/>
      <c r="N45" s="69"/>
      <c r="O45" s="6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4">
    <mergeCell ref="K3:O3"/>
    <mergeCell ref="K5:O5"/>
    <mergeCell ref="L6:M6"/>
    <mergeCell ref="K10:O10"/>
    <mergeCell ref="L11:M11"/>
    <mergeCell ref="L12:M12"/>
    <mergeCell ref="K13:O13"/>
    <mergeCell ref="K14:O14"/>
    <mergeCell ref="K15:O15"/>
    <mergeCell ref="L16:M16"/>
    <mergeCell ref="K19:M19"/>
    <mergeCell ref="K20:O20"/>
    <mergeCell ref="L21:M21"/>
    <mergeCell ref="K24:O24"/>
    <mergeCell ref="K25:O25"/>
    <mergeCell ref="K26:O26"/>
    <mergeCell ref="L27:M27"/>
    <mergeCell ref="K7:K8"/>
    <mergeCell ref="K17:K18"/>
    <mergeCell ref="K22:K23"/>
    <mergeCell ref="K28:K29"/>
    <mergeCell ref="N7:N8"/>
    <mergeCell ref="N17:N18"/>
    <mergeCell ref="N22:N23"/>
    <mergeCell ref="N28:N29"/>
    <mergeCell ref="O7:O8"/>
    <mergeCell ref="O17:O18"/>
    <mergeCell ref="O22:O23"/>
    <mergeCell ref="O28:O29"/>
    <mergeCell ref="K1:O2"/>
    <mergeCell ref="L7:M8"/>
    <mergeCell ref="L17:M18"/>
    <mergeCell ref="L22:M23"/>
    <mergeCell ref="L28:M29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workbookViewId="0">
      <selection activeCell="S3" sqref="S3"/>
    </sheetView>
  </sheetViews>
  <sheetFormatPr defaultColWidth="12.7142857142857" defaultRowHeight="12.75"/>
  <cols>
    <col min="1" max="1" width="12.7142857142857" style="1" customWidth="1"/>
    <col min="2" max="2" width="12.4285714285714" style="2" customWidth="1"/>
    <col min="3" max="3" width="27.5714285714286" style="2" customWidth="1"/>
    <col min="4" max="6" width="12.7142857142857" style="3" customWidth="1"/>
    <col min="7" max="7" width="12.7142857142857" style="4" hidden="1" customWidth="1"/>
    <col min="8" max="8" width="14.4285714285714" style="2" customWidth="1"/>
    <col min="9" max="11" width="12.7142857142857" style="5" customWidth="1"/>
    <col min="12" max="12" width="12.7142857142857" style="3" customWidth="1"/>
    <col min="13" max="13" width="12.7142857142857" style="1" customWidth="1"/>
    <col min="14" max="14" width="20.7142857142857" style="1" customWidth="1"/>
    <col min="15" max="16" width="22.4285714285714" style="1" customWidth="1"/>
    <col min="17" max="17" width="31" style="1" customWidth="1"/>
    <col min="18" max="16382" width="12.7142857142857" style="1" customWidth="1"/>
    <col min="16383" max="16384" width="12.7142857142857" style="1"/>
  </cols>
  <sheetData>
    <row r="1" ht="42" customHeight="1" spans="1:21">
      <c r="A1" s="6" t="s">
        <v>0</v>
      </c>
      <c r="B1" s="7" t="s">
        <v>123</v>
      </c>
      <c r="C1" s="7" t="s">
        <v>124</v>
      </c>
      <c r="D1" s="8" t="s">
        <v>1</v>
      </c>
      <c r="E1" s="15" t="s">
        <v>2</v>
      </c>
      <c r="F1" s="15" t="s">
        <v>3</v>
      </c>
      <c r="G1" s="16" t="s">
        <v>125</v>
      </c>
      <c r="H1" s="7" t="s">
        <v>126</v>
      </c>
      <c r="I1" s="19" t="s">
        <v>5</v>
      </c>
      <c r="J1" s="19" t="s">
        <v>6</v>
      </c>
      <c r="K1" s="20" t="s">
        <v>7</v>
      </c>
      <c r="L1" s="15" t="s">
        <v>8</v>
      </c>
      <c r="N1" s="24" t="s">
        <v>9</v>
      </c>
      <c r="O1" s="24"/>
      <c r="P1" s="24"/>
      <c r="Q1" s="24"/>
      <c r="R1" s="55"/>
      <c r="S1" s="56" t="s">
        <v>127</v>
      </c>
      <c r="T1" s="56"/>
      <c r="U1" s="56"/>
    </row>
    <row r="2" ht="14.25" spans="1:17">
      <c r="A2" s="9" t="s">
        <v>10</v>
      </c>
      <c r="B2" s="10" t="str">
        <f>RIGHT(A2,2)</f>
        <v>US</v>
      </c>
      <c r="C2" s="10" t="str">
        <f>D2&amp;" - "&amp;F2</f>
        <v>Laptop - Dell</v>
      </c>
      <c r="D2" s="11" t="str">
        <f t="shared" ref="D2:D29" si="0">PROPER(E2)</f>
        <v>Laptop</v>
      </c>
      <c r="E2" s="11" t="s">
        <v>11</v>
      </c>
      <c r="F2" s="11" t="s">
        <v>12</v>
      </c>
      <c r="G2" s="17">
        <f>IF(ISBLANK(I2),AVERAGE($I$2:$I$30),I2)</f>
        <v>1000</v>
      </c>
      <c r="H2" s="10" t="str">
        <f>LEFT(A2,6)</f>
        <v>28-JAN</v>
      </c>
      <c r="I2" s="21">
        <v>1000</v>
      </c>
      <c r="J2" s="21">
        <v>30</v>
      </c>
      <c r="K2" s="21" t="str">
        <f t="shared" ref="K2:K29" si="1">IF(ISBLANK(L2),"Unknown",L2)</f>
        <v>Electronics</v>
      </c>
      <c r="L2" s="11" t="s">
        <v>13</v>
      </c>
      <c r="N2" s="24"/>
      <c r="O2" s="24"/>
      <c r="P2" s="24"/>
      <c r="Q2" s="24"/>
    </row>
    <row r="3" ht="18" spans="1:17">
      <c r="A3" s="12" t="s">
        <v>14</v>
      </c>
      <c r="B3" s="13" t="str">
        <f t="shared" ref="B3:B29" si="2">RIGHT(A3,2)</f>
        <v>US</v>
      </c>
      <c r="C3" s="13" t="str">
        <f t="shared" ref="C3:C29" si="3">D3&amp;" - "&amp;F3</f>
        <v>Sneakers - Nike</v>
      </c>
      <c r="D3" s="14" t="str">
        <f t="shared" si="0"/>
        <v>Sneakers</v>
      </c>
      <c r="E3" s="14" t="s">
        <v>15</v>
      </c>
      <c r="F3" s="14" t="s">
        <v>16</v>
      </c>
      <c r="G3" s="18">
        <f>IF(ISBLANK(I3),AVERAGE($I$2:$I$30),I3)</f>
        <v>80</v>
      </c>
      <c r="H3" s="13" t="str">
        <f t="shared" ref="H3:H29" si="4">LEFT(A3,6)</f>
        <v>15-FEB</v>
      </c>
      <c r="I3" s="22">
        <v>80</v>
      </c>
      <c r="J3" s="22">
        <v>15</v>
      </c>
      <c r="K3" s="22" t="str">
        <f t="shared" si="1"/>
        <v>Fashion</v>
      </c>
      <c r="L3" s="14" t="s">
        <v>17</v>
      </c>
      <c r="N3" s="25" t="s">
        <v>128</v>
      </c>
      <c r="O3" s="26"/>
      <c r="P3" s="26"/>
      <c r="Q3" s="57"/>
    </row>
    <row r="4" ht="14.25" spans="1:17">
      <c r="A4" s="9" t="s">
        <v>19</v>
      </c>
      <c r="B4" s="10" t="str">
        <f t="shared" si="2"/>
        <v>US</v>
      </c>
      <c r="C4" s="10" t="str">
        <f t="shared" si="3"/>
        <v>Coffee Maker - Keurig</v>
      </c>
      <c r="D4" s="11" t="str">
        <f t="shared" si="0"/>
        <v>Coffee Maker</v>
      </c>
      <c r="E4" s="11" t="s">
        <v>20</v>
      </c>
      <c r="F4" s="11" t="s">
        <v>21</v>
      </c>
      <c r="G4" s="17">
        <f>IF(ISBLANK(I4),AVERAGE($I$2:$I$30),I4)</f>
        <v>130</v>
      </c>
      <c r="H4" s="10" t="str">
        <f t="shared" si="4"/>
        <v>03-MAR</v>
      </c>
      <c r="I4" s="21">
        <v>130</v>
      </c>
      <c r="J4" s="21">
        <v>40</v>
      </c>
      <c r="K4" s="21" t="str">
        <f t="shared" si="1"/>
        <v>Kitchen</v>
      </c>
      <c r="L4" s="11" t="s">
        <v>22</v>
      </c>
      <c r="N4" s="27" t="s">
        <v>129</v>
      </c>
      <c r="O4" s="28"/>
      <c r="P4" s="28"/>
      <c r="Q4" s="58"/>
    </row>
    <row r="5" ht="14.25" spans="1:17">
      <c r="A5" s="12" t="s">
        <v>24</v>
      </c>
      <c r="B5" s="13" t="str">
        <f t="shared" si="2"/>
        <v>US</v>
      </c>
      <c r="C5" s="13" t="str">
        <f t="shared" si="3"/>
        <v>Smartphone - Samsung</v>
      </c>
      <c r="D5" s="14" t="str">
        <f t="shared" si="0"/>
        <v>Smartphone</v>
      </c>
      <c r="E5" s="14" t="s">
        <v>25</v>
      </c>
      <c r="F5" s="14" t="s">
        <v>26</v>
      </c>
      <c r="G5" s="18">
        <f>IF(ISBLANK(I5),AVERAGE($I$2:$I$30),I5)</f>
        <v>900</v>
      </c>
      <c r="H5" s="13" t="str">
        <f t="shared" si="4"/>
        <v>11-APR</v>
      </c>
      <c r="I5" s="22">
        <v>900</v>
      </c>
      <c r="J5" s="22">
        <v>25</v>
      </c>
      <c r="K5" s="22" t="str">
        <f t="shared" si="1"/>
        <v>Electronics</v>
      </c>
      <c r="L5" s="14" t="s">
        <v>13</v>
      </c>
      <c r="N5" s="29" t="s">
        <v>130</v>
      </c>
      <c r="O5" s="30"/>
      <c r="P5" s="30"/>
      <c r="Q5" s="59"/>
    </row>
    <row r="6" ht="14.25" spans="1:17">
      <c r="A6" s="9" t="s">
        <v>28</v>
      </c>
      <c r="B6" s="10" t="str">
        <f t="shared" si="2"/>
        <v>US</v>
      </c>
      <c r="C6" s="10" t="str">
        <f t="shared" si="3"/>
        <v>Backpack - North Face</v>
      </c>
      <c r="D6" s="11" t="str">
        <f t="shared" si="0"/>
        <v>Backpack</v>
      </c>
      <c r="E6" s="11" t="s">
        <v>29</v>
      </c>
      <c r="F6" s="11" t="s">
        <v>30</v>
      </c>
      <c r="G6" s="17">
        <f>IF(ISBLANK(I6),AVERAGE($I$2:$I$30),I6)</f>
        <v>70</v>
      </c>
      <c r="H6" s="10" t="str">
        <f t="shared" si="4"/>
        <v>22-MAY</v>
      </c>
      <c r="I6" s="21">
        <v>70</v>
      </c>
      <c r="J6" s="21">
        <v>20</v>
      </c>
      <c r="K6" s="21" t="str">
        <f t="shared" si="1"/>
        <v>Unknown</v>
      </c>
      <c r="L6" s="11"/>
      <c r="N6" s="31" t="s">
        <v>31</v>
      </c>
      <c r="O6" s="32" t="s">
        <v>32</v>
      </c>
      <c r="P6" s="33"/>
      <c r="Q6" s="31" t="s">
        <v>131</v>
      </c>
    </row>
    <row r="7" ht="14.25" spans="1:17">
      <c r="A7" s="12" t="s">
        <v>35</v>
      </c>
      <c r="B7" s="13" t="str">
        <f t="shared" si="2"/>
        <v>UK</v>
      </c>
      <c r="C7" s="13" t="str">
        <f t="shared" si="3"/>
        <v>Headphones - Sony</v>
      </c>
      <c r="D7" s="14" t="str">
        <f t="shared" si="0"/>
        <v>Headphones</v>
      </c>
      <c r="E7" s="14" t="s">
        <v>36</v>
      </c>
      <c r="F7" s="14" t="s">
        <v>37</v>
      </c>
      <c r="G7" s="18">
        <f>IF(ISBLANK(I7),AVERAGE($I$2:$I$30),I7)</f>
        <v>283.6</v>
      </c>
      <c r="H7" s="13" t="str">
        <f t="shared" si="4"/>
        <v>07-JUN</v>
      </c>
      <c r="I7" s="23"/>
      <c r="J7" s="22">
        <v>45</v>
      </c>
      <c r="K7" s="22" t="str">
        <f t="shared" si="1"/>
        <v>Electronics</v>
      </c>
      <c r="L7" s="14" t="s">
        <v>13</v>
      </c>
      <c r="N7" s="34" t="s">
        <v>132</v>
      </c>
      <c r="O7" s="35" t="s">
        <v>133</v>
      </c>
      <c r="P7" s="36"/>
      <c r="Q7" s="60" t="str">
        <f>LEFT(A2,6)</f>
        <v>28-JAN</v>
      </c>
    </row>
    <row r="8" ht="14.25" spans="1:17">
      <c r="A8" s="9" t="s">
        <v>41</v>
      </c>
      <c r="B8" s="10" t="str">
        <f t="shared" si="2"/>
        <v>UK</v>
      </c>
      <c r="C8" s="10" t="str">
        <f t="shared" si="3"/>
        <v>T-Shirt - Adidas</v>
      </c>
      <c r="D8" s="11" t="str">
        <f t="shared" si="0"/>
        <v>T-Shirt</v>
      </c>
      <c r="E8" s="11" t="s">
        <v>42</v>
      </c>
      <c r="F8" s="11" t="s">
        <v>43</v>
      </c>
      <c r="G8" s="17">
        <f>IF(ISBLANK(I8),AVERAGE($I$2:$I$30),I8)</f>
        <v>30</v>
      </c>
      <c r="H8" s="10" t="str">
        <f t="shared" si="4"/>
        <v>19-JUL</v>
      </c>
      <c r="I8" s="21">
        <v>30</v>
      </c>
      <c r="J8" s="21">
        <v>5</v>
      </c>
      <c r="K8" s="21" t="str">
        <f t="shared" si="1"/>
        <v>Fashion</v>
      </c>
      <c r="L8" s="11" t="s">
        <v>17</v>
      </c>
      <c r="N8" s="37"/>
      <c r="O8" s="38"/>
      <c r="P8" s="39"/>
      <c r="Q8" s="61" t="str">
        <f>RIGHT(A2,2)</f>
        <v>US</v>
      </c>
    </row>
    <row r="9" ht="14.25" spans="1:17">
      <c r="A9" s="12" t="s">
        <v>44</v>
      </c>
      <c r="B9" s="13" t="str">
        <f t="shared" si="2"/>
        <v>UK</v>
      </c>
      <c r="C9" s="13" t="str">
        <f t="shared" si="3"/>
        <v>Blender - Ninja</v>
      </c>
      <c r="D9" s="14" t="str">
        <f t="shared" si="0"/>
        <v>Blender</v>
      </c>
      <c r="E9" s="14" t="s">
        <v>45</v>
      </c>
      <c r="F9" s="14" t="s">
        <v>46</v>
      </c>
      <c r="G9" s="18">
        <f>IF(ISBLANK(I9),AVERAGE($I$2:$I$30),I9)</f>
        <v>90</v>
      </c>
      <c r="H9" s="13" t="str">
        <f t="shared" si="4"/>
        <v>23-AUG</v>
      </c>
      <c r="I9" s="22">
        <v>90</v>
      </c>
      <c r="J9" s="22">
        <v>35</v>
      </c>
      <c r="K9" s="22" t="str">
        <f t="shared" si="1"/>
        <v>Kitchen</v>
      </c>
      <c r="L9" s="14" t="s">
        <v>22</v>
      </c>
      <c r="N9" s="27" t="s">
        <v>134</v>
      </c>
      <c r="O9" s="28"/>
      <c r="P9" s="28"/>
      <c r="Q9" s="58"/>
    </row>
    <row r="10" ht="14.25" spans="1:17">
      <c r="A10" s="9" t="s">
        <v>48</v>
      </c>
      <c r="B10" s="10" t="str">
        <f t="shared" si="2"/>
        <v>UK</v>
      </c>
      <c r="C10" s="10" t="str">
        <f t="shared" si="3"/>
        <v>Tablet - Apple</v>
      </c>
      <c r="D10" s="11" t="str">
        <f t="shared" si="0"/>
        <v>Tablet</v>
      </c>
      <c r="E10" s="11" t="s">
        <v>49</v>
      </c>
      <c r="F10" s="11" t="s">
        <v>50</v>
      </c>
      <c r="G10" s="17">
        <f>IF(ISBLANK(I10),AVERAGE($I$2:$I$30),I10)</f>
        <v>500</v>
      </c>
      <c r="H10" s="10" t="str">
        <f t="shared" si="4"/>
        <v>05-SEP</v>
      </c>
      <c r="I10" s="21">
        <v>500</v>
      </c>
      <c r="J10" s="21">
        <v>50</v>
      </c>
      <c r="K10" s="21" t="str">
        <f t="shared" si="1"/>
        <v>Electronics</v>
      </c>
      <c r="L10" s="11" t="s">
        <v>13</v>
      </c>
      <c r="N10" s="29" t="s">
        <v>135</v>
      </c>
      <c r="O10" s="30"/>
      <c r="P10" s="30"/>
      <c r="Q10" s="59"/>
    </row>
    <row r="11" ht="14.25" spans="1:17">
      <c r="A11" s="12" t="s">
        <v>52</v>
      </c>
      <c r="B11" s="13" t="str">
        <f t="shared" si="2"/>
        <v>UK</v>
      </c>
      <c r="C11" s="13" t="str">
        <f t="shared" si="3"/>
        <v>Hiking Boots - Timberland</v>
      </c>
      <c r="D11" s="14" t="str">
        <f t="shared" si="0"/>
        <v>Hiking Boots</v>
      </c>
      <c r="E11" s="14" t="s">
        <v>53</v>
      </c>
      <c r="F11" s="14" t="s">
        <v>54</v>
      </c>
      <c r="G11" s="18">
        <f>IF(ISBLANK(I11),AVERAGE($I$2:$I$30),I11)</f>
        <v>130</v>
      </c>
      <c r="H11" s="13" t="str">
        <f t="shared" si="4"/>
        <v>14-OCT</v>
      </c>
      <c r="I11" s="22">
        <v>130</v>
      </c>
      <c r="J11" s="22">
        <v>10</v>
      </c>
      <c r="K11" s="22" t="str">
        <f t="shared" si="1"/>
        <v>Outdoor</v>
      </c>
      <c r="L11" s="14" t="s">
        <v>55</v>
      </c>
      <c r="N11" s="31" t="s">
        <v>31</v>
      </c>
      <c r="O11" s="32" t="s">
        <v>32</v>
      </c>
      <c r="P11" s="33"/>
      <c r="Q11" s="31" t="s">
        <v>131</v>
      </c>
    </row>
    <row r="12" ht="14.25" spans="1:17">
      <c r="A12" s="12" t="s">
        <v>56</v>
      </c>
      <c r="B12" s="13" t="str">
        <f t="shared" si="2"/>
        <v>AU</v>
      </c>
      <c r="C12" s="13" t="str">
        <f t="shared" si="3"/>
        <v>Sneakers - Adidas</v>
      </c>
      <c r="D12" s="14" t="str">
        <f t="shared" si="0"/>
        <v>Sneakers</v>
      </c>
      <c r="E12" s="14" t="s">
        <v>15</v>
      </c>
      <c r="F12" s="14" t="s">
        <v>43</v>
      </c>
      <c r="G12" s="18">
        <f>IF(ISBLANK(I12),AVERAGE($I$2:$I$30),I12)</f>
        <v>90</v>
      </c>
      <c r="H12" s="13" t="str">
        <f t="shared" si="4"/>
        <v>25-NOV</v>
      </c>
      <c r="I12" s="22">
        <v>90</v>
      </c>
      <c r="J12" s="22">
        <v>40</v>
      </c>
      <c r="K12" s="22" t="str">
        <f t="shared" si="1"/>
        <v>Unknown</v>
      </c>
      <c r="L12" s="14"/>
      <c r="N12" s="37" t="s">
        <v>136</v>
      </c>
      <c r="O12" s="38" t="s">
        <v>137</v>
      </c>
      <c r="P12" s="39"/>
      <c r="Q12" s="61" t="str">
        <f>D2&amp;" - "&amp;F2</f>
        <v>Laptop - Dell</v>
      </c>
    </row>
    <row r="13" ht="18" spans="1:17">
      <c r="A13" s="9" t="s">
        <v>60</v>
      </c>
      <c r="B13" s="10" t="str">
        <f t="shared" si="2"/>
        <v>DE</v>
      </c>
      <c r="C13" s="10" t="str">
        <f t="shared" si="3"/>
        <v>Coffee Maker - Nespresso</v>
      </c>
      <c r="D13" s="11" t="str">
        <f t="shared" si="0"/>
        <v>Coffee Maker</v>
      </c>
      <c r="E13" s="11" t="s">
        <v>20</v>
      </c>
      <c r="F13" s="11" t="s">
        <v>61</v>
      </c>
      <c r="G13" s="17">
        <f>IF(ISBLANK(I13),AVERAGE($I$2:$I$30),I13)</f>
        <v>120</v>
      </c>
      <c r="H13" s="10" t="str">
        <f t="shared" si="4"/>
        <v>08-DEC</v>
      </c>
      <c r="I13" s="21">
        <v>120</v>
      </c>
      <c r="J13" s="21">
        <v>35</v>
      </c>
      <c r="K13" s="21" t="str">
        <f t="shared" si="1"/>
        <v>Unknown</v>
      </c>
      <c r="L13" s="11"/>
      <c r="N13" s="25" t="s">
        <v>138</v>
      </c>
      <c r="O13" s="26"/>
      <c r="P13" s="26"/>
      <c r="Q13" s="57"/>
    </row>
    <row r="14" ht="14.25" spans="1:17">
      <c r="A14" s="12" t="s">
        <v>63</v>
      </c>
      <c r="B14" s="13" t="str">
        <f t="shared" si="2"/>
        <v>CA</v>
      </c>
      <c r="C14" s="13" t="str">
        <f t="shared" si="3"/>
        <v>Smartwatch - Fitbit</v>
      </c>
      <c r="D14" s="14" t="str">
        <f t="shared" si="0"/>
        <v>Smartwatch</v>
      </c>
      <c r="E14" s="14" t="s">
        <v>64</v>
      </c>
      <c r="F14" s="14" t="s">
        <v>65</v>
      </c>
      <c r="G14" s="18">
        <f>IF(ISBLANK(I14),AVERAGE($I$2:$I$30),I14)</f>
        <v>150</v>
      </c>
      <c r="H14" s="13" t="str">
        <f t="shared" si="4"/>
        <v>18-FEB</v>
      </c>
      <c r="I14" s="22">
        <v>150</v>
      </c>
      <c r="J14" s="22">
        <v>15</v>
      </c>
      <c r="K14" s="22" t="str">
        <f t="shared" si="1"/>
        <v>Electronics</v>
      </c>
      <c r="L14" s="14" t="s">
        <v>13</v>
      </c>
      <c r="N14" s="40" t="s">
        <v>139</v>
      </c>
      <c r="O14" s="41"/>
      <c r="P14" s="41"/>
      <c r="Q14" s="62"/>
    </row>
    <row r="15" ht="14.25" spans="1:17">
      <c r="A15" s="9" t="s">
        <v>67</v>
      </c>
      <c r="B15" s="10" t="str">
        <f t="shared" si="2"/>
        <v>CN</v>
      </c>
      <c r="C15" s="10" t="str">
        <f t="shared" si="3"/>
        <v>Smartwatch - Huawei</v>
      </c>
      <c r="D15" s="11" t="str">
        <f t="shared" si="0"/>
        <v>Smartwatch</v>
      </c>
      <c r="E15" s="11" t="s">
        <v>64</v>
      </c>
      <c r="F15" s="11" t="s">
        <v>68</v>
      </c>
      <c r="G15" s="17">
        <f>IF(COUNTBLANK(I15),AVERAGE($I$2:$I$30),I15)</f>
        <v>160</v>
      </c>
      <c r="H15" s="10" t="str">
        <f t="shared" si="4"/>
        <v>20-AUG</v>
      </c>
      <c r="I15" s="21">
        <v>160</v>
      </c>
      <c r="J15" s="21">
        <v>15</v>
      </c>
      <c r="K15" s="21" t="str">
        <f t="shared" si="1"/>
        <v>Electronics</v>
      </c>
      <c r="L15" s="11" t="s">
        <v>13</v>
      </c>
      <c r="N15" s="42"/>
      <c r="O15" s="43"/>
      <c r="P15" s="43"/>
      <c r="Q15" s="63"/>
    </row>
    <row r="16" ht="14.25" spans="1:17">
      <c r="A16" s="12" t="s">
        <v>70</v>
      </c>
      <c r="B16" s="13" t="str">
        <f t="shared" si="2"/>
        <v>IT</v>
      </c>
      <c r="C16" s="13" t="str">
        <f t="shared" si="3"/>
        <v>Laptop - Asus</v>
      </c>
      <c r="D16" s="14" t="str">
        <f t="shared" si="0"/>
        <v>Laptop</v>
      </c>
      <c r="E16" s="14" t="s">
        <v>11</v>
      </c>
      <c r="F16" s="14" t="s">
        <v>71</v>
      </c>
      <c r="G16" s="18">
        <f>IF(COUNTBLANK(I16),AVERAGE($I$2:$I$30),I16)</f>
        <v>980</v>
      </c>
      <c r="H16" s="13" t="str">
        <f t="shared" si="4"/>
        <v>27-JAN</v>
      </c>
      <c r="I16" s="22">
        <v>980</v>
      </c>
      <c r="J16" s="22">
        <v>10</v>
      </c>
      <c r="K16" s="22" t="str">
        <f t="shared" si="1"/>
        <v>Electronics</v>
      </c>
      <c r="L16" s="14" t="s">
        <v>13</v>
      </c>
      <c r="N16" s="31" t="s">
        <v>31</v>
      </c>
      <c r="O16" s="32" t="s">
        <v>32</v>
      </c>
      <c r="P16" s="33"/>
      <c r="Q16" s="31" t="s">
        <v>131</v>
      </c>
    </row>
    <row r="17" ht="14.25" spans="1:17">
      <c r="A17" s="9" t="s">
        <v>72</v>
      </c>
      <c r="B17" s="10" t="str">
        <f t="shared" si="2"/>
        <v>UK</v>
      </c>
      <c r="C17" s="10" t="str">
        <f t="shared" si="3"/>
        <v>Sunglasses - Oakley</v>
      </c>
      <c r="D17" s="11" t="str">
        <f t="shared" si="0"/>
        <v>Sunglasses</v>
      </c>
      <c r="E17" s="11" t="s">
        <v>73</v>
      </c>
      <c r="F17" s="11" t="s">
        <v>74</v>
      </c>
      <c r="G17" s="17">
        <f>IF(COUNTBLANK(I17),AVERAGE($I$2:$I$30),I17)</f>
        <v>150</v>
      </c>
      <c r="H17" s="10" t="str">
        <f t="shared" si="4"/>
        <v>01-MAR</v>
      </c>
      <c r="I17" s="21">
        <v>150</v>
      </c>
      <c r="J17" s="21">
        <v>15</v>
      </c>
      <c r="K17" s="21" t="str">
        <f t="shared" si="1"/>
        <v>Fashion</v>
      </c>
      <c r="L17" s="11" t="s">
        <v>17</v>
      </c>
      <c r="N17" s="34" t="s">
        <v>140</v>
      </c>
      <c r="O17" s="35" t="s">
        <v>141</v>
      </c>
      <c r="P17" s="36"/>
      <c r="Q17" s="60" t="s">
        <v>142</v>
      </c>
    </row>
    <row r="18" ht="14.25" spans="1:17">
      <c r="A18" s="12" t="s">
        <v>78</v>
      </c>
      <c r="B18" s="13" t="str">
        <f t="shared" si="2"/>
        <v>US</v>
      </c>
      <c r="C18" s="13" t="str">
        <f t="shared" si="3"/>
        <v>Camping Tent - Coleman</v>
      </c>
      <c r="D18" s="14" t="str">
        <f t="shared" si="0"/>
        <v>Camping Tent</v>
      </c>
      <c r="E18" s="14" t="s">
        <v>79</v>
      </c>
      <c r="F18" s="14" t="s">
        <v>80</v>
      </c>
      <c r="G18" s="18">
        <f>IF(COUNTBLANK(I18),AVERAGE($I$2:$I$30),I18)</f>
        <v>283.6</v>
      </c>
      <c r="H18" s="13" t="str">
        <f t="shared" si="4"/>
        <v>14-AUG</v>
      </c>
      <c r="I18" s="22"/>
      <c r="J18" s="22">
        <v>10</v>
      </c>
      <c r="K18" s="22" t="str">
        <f t="shared" si="1"/>
        <v>Outdoor</v>
      </c>
      <c r="L18" s="14" t="s">
        <v>55</v>
      </c>
      <c r="N18" s="44"/>
      <c r="O18" s="45"/>
      <c r="P18" s="46"/>
      <c r="Q18" s="64"/>
    </row>
    <row r="19" ht="18" spans="1:17">
      <c r="A19" s="9" t="s">
        <v>81</v>
      </c>
      <c r="B19" s="10" t="str">
        <f t="shared" si="2"/>
        <v>RU</v>
      </c>
      <c r="C19" s="10" t="str">
        <f t="shared" si="3"/>
        <v>Camera - Nikon</v>
      </c>
      <c r="D19" s="11" t="str">
        <f t="shared" si="0"/>
        <v>Camera</v>
      </c>
      <c r="E19" s="11" t="s">
        <v>82</v>
      </c>
      <c r="F19" s="11" t="s">
        <v>83</v>
      </c>
      <c r="G19" s="17">
        <f>IF(COUNTBLANK(I19),AVERAGE($I$2:$I$30),I19)</f>
        <v>700</v>
      </c>
      <c r="H19" s="10" t="str">
        <f t="shared" si="4"/>
        <v>14-MAY</v>
      </c>
      <c r="I19" s="21">
        <v>700</v>
      </c>
      <c r="J19" s="21">
        <v>50</v>
      </c>
      <c r="K19" s="21" t="str">
        <f t="shared" si="1"/>
        <v>Electronics</v>
      </c>
      <c r="L19" s="11" t="s">
        <v>13</v>
      </c>
      <c r="N19" s="25" t="s">
        <v>143</v>
      </c>
      <c r="O19" s="26"/>
      <c r="P19" s="26"/>
      <c r="Q19" s="57"/>
    </row>
    <row r="20" ht="14.25" spans="1:17">
      <c r="A20" s="12" t="s">
        <v>85</v>
      </c>
      <c r="B20" s="13" t="str">
        <f t="shared" si="2"/>
        <v>CA</v>
      </c>
      <c r="C20" s="13" t="str">
        <f t="shared" si="3"/>
        <v>Microwave - Panasonic</v>
      </c>
      <c r="D20" s="14" t="str">
        <f t="shared" si="0"/>
        <v>Microwave</v>
      </c>
      <c r="E20" s="14" t="s">
        <v>86</v>
      </c>
      <c r="F20" s="14" t="s">
        <v>87</v>
      </c>
      <c r="G20" s="18">
        <f>IF(COUNTBLANK(I20),AVERAGE($I$2:$I$30),I20)</f>
        <v>80</v>
      </c>
      <c r="H20" s="13" t="str">
        <f t="shared" si="4"/>
        <v>09-JAN</v>
      </c>
      <c r="I20" s="22">
        <v>80</v>
      </c>
      <c r="J20" s="22">
        <v>20</v>
      </c>
      <c r="K20" s="22" t="str">
        <f t="shared" si="1"/>
        <v>Kitchen</v>
      </c>
      <c r="L20" s="14" t="s">
        <v>22</v>
      </c>
      <c r="N20" s="47" t="s">
        <v>144</v>
      </c>
      <c r="O20" s="48"/>
      <c r="P20" s="48"/>
      <c r="Q20" s="65"/>
    </row>
    <row r="21" ht="14.25" spans="1:17">
      <c r="A21" s="9" t="s">
        <v>89</v>
      </c>
      <c r="B21" s="10" t="str">
        <f t="shared" si="2"/>
        <v>BR</v>
      </c>
      <c r="C21" s="10" t="str">
        <f t="shared" si="3"/>
        <v>Fitness Tracker - Xiaomi</v>
      </c>
      <c r="D21" s="11" t="str">
        <f t="shared" si="0"/>
        <v>Fitness Tracker</v>
      </c>
      <c r="E21" s="11" t="s">
        <v>90</v>
      </c>
      <c r="F21" s="11" t="s">
        <v>91</v>
      </c>
      <c r="G21" s="17">
        <f>IF(COUNTBLANK(I21),AVERAGE($I$2:$I$30),I21)</f>
        <v>150</v>
      </c>
      <c r="H21" s="10" t="str">
        <f t="shared" si="4"/>
        <v>19-JUL</v>
      </c>
      <c r="I21" s="21">
        <v>150</v>
      </c>
      <c r="J21" s="21">
        <v>30</v>
      </c>
      <c r="K21" s="21" t="str">
        <f t="shared" si="1"/>
        <v>Unknown</v>
      </c>
      <c r="L21" s="11"/>
      <c r="N21" s="29"/>
      <c r="O21" s="30"/>
      <c r="P21" s="30"/>
      <c r="Q21" s="59"/>
    </row>
    <row r="22" ht="15" customHeight="1" spans="1:17">
      <c r="A22" s="9" t="s">
        <v>92</v>
      </c>
      <c r="B22" s="10" t="str">
        <f t="shared" si="2"/>
        <v>CA</v>
      </c>
      <c r="C22" s="10" t="str">
        <f t="shared" si="3"/>
        <v>Smartphone - Google</v>
      </c>
      <c r="D22" s="11" t="str">
        <f t="shared" si="0"/>
        <v>Smartphone</v>
      </c>
      <c r="E22" s="11" t="s">
        <v>93</v>
      </c>
      <c r="F22" s="11" t="s">
        <v>94</v>
      </c>
      <c r="G22" s="17">
        <f>IF(COUNTBLANK(I22),AVERAGE($I$2:$I$30),I22)</f>
        <v>800</v>
      </c>
      <c r="H22" s="10" t="str">
        <f t="shared" si="4"/>
        <v>29-SEP</v>
      </c>
      <c r="I22" s="21">
        <v>800</v>
      </c>
      <c r="J22" s="21">
        <v>45</v>
      </c>
      <c r="K22" s="21" t="str">
        <f t="shared" si="1"/>
        <v>Electronics</v>
      </c>
      <c r="L22" s="11" t="s">
        <v>13</v>
      </c>
      <c r="N22" s="31" t="s">
        <v>31</v>
      </c>
      <c r="O22" s="32" t="s">
        <v>32</v>
      </c>
      <c r="P22" s="33"/>
      <c r="Q22" s="31" t="s">
        <v>131</v>
      </c>
    </row>
    <row r="23" ht="14.25" spans="1:17">
      <c r="A23" s="12" t="s">
        <v>98</v>
      </c>
      <c r="B23" s="13" t="str">
        <f t="shared" si="2"/>
        <v>CA</v>
      </c>
      <c r="C23" s="13" t="str">
        <f t="shared" si="3"/>
        <v>Sunglasses - Ray-Ban</v>
      </c>
      <c r="D23" s="14" t="str">
        <f t="shared" si="0"/>
        <v>Sunglasses</v>
      </c>
      <c r="E23" s="14" t="s">
        <v>73</v>
      </c>
      <c r="F23" s="14" t="s">
        <v>99</v>
      </c>
      <c r="G23" s="18">
        <f>IF(COUNTBLANK(I23),AVERAGE($I$2:$I$30),I23)</f>
        <v>283.6</v>
      </c>
      <c r="H23" s="13" t="str">
        <f t="shared" si="4"/>
        <v>03-JUN</v>
      </c>
      <c r="I23" s="22"/>
      <c r="J23" s="22">
        <v>25</v>
      </c>
      <c r="K23" s="22" t="str">
        <f t="shared" si="1"/>
        <v>Fashion</v>
      </c>
      <c r="L23" s="14" t="s">
        <v>17</v>
      </c>
      <c r="N23" s="49" t="s">
        <v>140</v>
      </c>
      <c r="O23" s="50" t="s">
        <v>145</v>
      </c>
      <c r="P23" s="51"/>
      <c r="Q23" s="49" t="s">
        <v>146</v>
      </c>
    </row>
    <row r="24" ht="14.25" spans="1:17">
      <c r="A24" s="9" t="s">
        <v>100</v>
      </c>
      <c r="B24" s="10" t="str">
        <f t="shared" si="2"/>
        <v>CA</v>
      </c>
      <c r="C24" s="10" t="str">
        <f t="shared" si="3"/>
        <v>Blender - Vitamix</v>
      </c>
      <c r="D24" s="11" t="str">
        <f t="shared" si="0"/>
        <v>Blender</v>
      </c>
      <c r="E24" s="11" t="s">
        <v>45</v>
      </c>
      <c r="F24" s="11" t="s">
        <v>101</v>
      </c>
      <c r="G24" s="17">
        <f>IF(COUNTBLANK(I24),AVERAGE($I$2:$I$30),I24)</f>
        <v>400</v>
      </c>
      <c r="H24" s="10" t="str">
        <f t="shared" si="4"/>
        <v>11-JUL</v>
      </c>
      <c r="I24" s="21">
        <v>400</v>
      </c>
      <c r="J24" s="21">
        <v>40</v>
      </c>
      <c r="K24" s="21" t="str">
        <f t="shared" si="1"/>
        <v>Kitchen</v>
      </c>
      <c r="L24" s="11" t="s">
        <v>22</v>
      </c>
      <c r="N24" s="52"/>
      <c r="O24" s="53"/>
      <c r="P24" s="54"/>
      <c r="Q24" s="52"/>
    </row>
    <row r="25" ht="14.25" spans="1:17">
      <c r="A25" s="9" t="s">
        <v>103</v>
      </c>
      <c r="B25" s="10" t="str">
        <f t="shared" si="2"/>
        <v>CA</v>
      </c>
      <c r="C25" s="10" t="str">
        <f t="shared" si="3"/>
        <v>Dress - Zara</v>
      </c>
      <c r="D25" s="11" t="str">
        <f t="shared" si="0"/>
        <v>Dress</v>
      </c>
      <c r="E25" s="11" t="s">
        <v>104</v>
      </c>
      <c r="F25" s="11" t="s">
        <v>105</v>
      </c>
      <c r="G25" s="17">
        <f>IF(COUNTBLANK(I25),AVERAGE($I$2:$I$30),I25)</f>
        <v>60</v>
      </c>
      <c r="H25" s="10" t="str">
        <f t="shared" si="4"/>
        <v>07-MAR</v>
      </c>
      <c r="I25" s="21">
        <v>60</v>
      </c>
      <c r="J25" s="21">
        <v>30</v>
      </c>
      <c r="K25" s="21" t="str">
        <f t="shared" si="1"/>
        <v>Fashion</v>
      </c>
      <c r="L25" s="11" t="s">
        <v>17</v>
      </c>
      <c r="N25" s="47" t="s">
        <v>147</v>
      </c>
      <c r="O25" s="48"/>
      <c r="P25" s="48"/>
      <c r="Q25" s="66"/>
    </row>
    <row r="26" ht="14.25" spans="1:17">
      <c r="A26" s="12" t="s">
        <v>107</v>
      </c>
      <c r="B26" s="13" t="str">
        <f t="shared" si="2"/>
        <v>CA</v>
      </c>
      <c r="C26" s="13" t="str">
        <f t="shared" si="3"/>
        <v>Toaster - Hamilton</v>
      </c>
      <c r="D26" s="14" t="str">
        <f t="shared" si="0"/>
        <v>Toaster</v>
      </c>
      <c r="E26" s="14" t="s">
        <v>108</v>
      </c>
      <c r="F26" s="14" t="s">
        <v>109</v>
      </c>
      <c r="G26" s="18">
        <f>IF(COUNTBLANK(I26),AVERAGE($I$2:$I$30),I26)</f>
        <v>40</v>
      </c>
      <c r="H26" s="13" t="str">
        <f t="shared" si="4"/>
        <v>13-APR</v>
      </c>
      <c r="I26" s="22">
        <v>40</v>
      </c>
      <c r="J26" s="22">
        <v>10</v>
      </c>
      <c r="K26" s="22" t="str">
        <f t="shared" si="1"/>
        <v>Kitchen</v>
      </c>
      <c r="L26" s="14" t="s">
        <v>22</v>
      </c>
      <c r="N26" s="29"/>
      <c r="O26" s="30"/>
      <c r="P26" s="30"/>
      <c r="Q26" s="59"/>
    </row>
    <row r="27" ht="14.25" spans="1:17">
      <c r="A27" s="9" t="s">
        <v>110</v>
      </c>
      <c r="B27" s="10" t="str">
        <f t="shared" si="2"/>
        <v>CA</v>
      </c>
      <c r="C27" s="10" t="str">
        <f t="shared" si="3"/>
        <v>Fitness Tracker - Garmin</v>
      </c>
      <c r="D27" s="11" t="str">
        <f t="shared" si="0"/>
        <v>Fitness Tracker</v>
      </c>
      <c r="E27" s="11" t="s">
        <v>90</v>
      </c>
      <c r="F27" s="11" t="s">
        <v>111</v>
      </c>
      <c r="G27" s="17">
        <f>IF(COUNTBLANK(I27),AVERAGE($I$2:$I$30),I27)</f>
        <v>130</v>
      </c>
      <c r="H27" s="10" t="str">
        <f t="shared" si="4"/>
        <v>24-MAY</v>
      </c>
      <c r="I27" s="21">
        <v>130</v>
      </c>
      <c r="J27" s="21">
        <v>5</v>
      </c>
      <c r="K27" s="21" t="str">
        <f t="shared" si="1"/>
        <v>Electronics</v>
      </c>
      <c r="L27" s="11" t="s">
        <v>13</v>
      </c>
      <c r="N27" s="31" t="s">
        <v>31</v>
      </c>
      <c r="O27" s="32" t="s">
        <v>32</v>
      </c>
      <c r="P27" s="33"/>
      <c r="Q27" s="31" t="s">
        <v>131</v>
      </c>
    </row>
    <row r="28" ht="14.25" spans="1:17">
      <c r="A28" s="12" t="s">
        <v>112</v>
      </c>
      <c r="B28" s="13" t="str">
        <f t="shared" si="2"/>
        <v>CA</v>
      </c>
      <c r="C28" s="13" t="str">
        <f t="shared" si="3"/>
        <v>Jeans - Levi's</v>
      </c>
      <c r="D28" s="14" t="str">
        <f t="shared" si="0"/>
        <v>Jeans</v>
      </c>
      <c r="E28" s="14" t="s">
        <v>113</v>
      </c>
      <c r="F28" s="14" t="s">
        <v>114</v>
      </c>
      <c r="G28" s="18">
        <f>IF(COUNTBLANK(I28),AVERAGE($I$2:$I$30),I28)</f>
        <v>50</v>
      </c>
      <c r="H28" s="13" t="str">
        <f t="shared" si="4"/>
        <v>02-DEC</v>
      </c>
      <c r="I28" s="22">
        <v>50</v>
      </c>
      <c r="J28" s="22">
        <v>50</v>
      </c>
      <c r="K28" s="22" t="str">
        <f t="shared" si="1"/>
        <v>Fashion</v>
      </c>
      <c r="L28" s="14" t="s">
        <v>17</v>
      </c>
      <c r="N28" s="49" t="s">
        <v>140</v>
      </c>
      <c r="O28" s="50" t="s">
        <v>148</v>
      </c>
      <c r="P28" s="51"/>
      <c r="Q28" s="67" t="s">
        <v>149</v>
      </c>
    </row>
    <row r="29" ht="14.25" spans="1:17">
      <c r="A29" s="9" t="s">
        <v>119</v>
      </c>
      <c r="B29" s="10" t="str">
        <f t="shared" si="2"/>
        <v>FR</v>
      </c>
      <c r="C29" s="10" t="str">
        <f t="shared" si="3"/>
        <v>Watch - Casio</v>
      </c>
      <c r="D29" s="11" t="str">
        <f t="shared" si="0"/>
        <v>Watch</v>
      </c>
      <c r="E29" s="11" t="s">
        <v>120</v>
      </c>
      <c r="F29" s="11" t="s">
        <v>121</v>
      </c>
      <c r="G29" s="17">
        <f>IF(COUNTBLANK(I29),AVERAGE($I$2:$I$30),I29)</f>
        <v>100</v>
      </c>
      <c r="H29" s="10" t="str">
        <f t="shared" si="4"/>
        <v>09-JUL</v>
      </c>
      <c r="I29" s="21">
        <v>100</v>
      </c>
      <c r="J29" s="21">
        <v>20</v>
      </c>
      <c r="K29" s="21" t="str">
        <f t="shared" si="1"/>
        <v>Accessories</v>
      </c>
      <c r="L29" s="11" t="s">
        <v>122</v>
      </c>
      <c r="N29" s="52"/>
      <c r="O29" s="53"/>
      <c r="P29" s="54"/>
      <c r="Q29" s="68"/>
    </row>
  </sheetData>
  <mergeCells count="31">
    <mergeCell ref="S1:U1"/>
    <mergeCell ref="N3:Q3"/>
    <mergeCell ref="N4:Q4"/>
    <mergeCell ref="N5:Q5"/>
    <mergeCell ref="O6:P6"/>
    <mergeCell ref="N9:Q9"/>
    <mergeCell ref="N10:Q10"/>
    <mergeCell ref="O11:P11"/>
    <mergeCell ref="O12:P12"/>
    <mergeCell ref="N13:Q13"/>
    <mergeCell ref="O16:P16"/>
    <mergeCell ref="N19:Q19"/>
    <mergeCell ref="N20:P20"/>
    <mergeCell ref="N21:Q21"/>
    <mergeCell ref="O22:P22"/>
    <mergeCell ref="N25:Q25"/>
    <mergeCell ref="N26:Q26"/>
    <mergeCell ref="O27:P27"/>
    <mergeCell ref="N7:N8"/>
    <mergeCell ref="N17:N18"/>
    <mergeCell ref="N23:N24"/>
    <mergeCell ref="N28:N29"/>
    <mergeCell ref="Q17:Q18"/>
    <mergeCell ref="Q23:Q24"/>
    <mergeCell ref="Q28:Q29"/>
    <mergeCell ref="O7:P8"/>
    <mergeCell ref="O23:P24"/>
    <mergeCell ref="O17:P18"/>
    <mergeCell ref="O28:P29"/>
    <mergeCell ref="N1:Q2"/>
    <mergeCell ref="N14:Q15"/>
  </mergeCells>
  <conditionalFormatting sqref="G1:G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{25e54a31-52df-4f0f-8c0a-25e8cc5e80a8}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e54a31-52df-4f0f-8c0a-25e8cc5e80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G1:G29</xm:sqref>
        </x14:conditionalFormatting>
        <x14:conditionalFormatting xmlns:xm="http://schemas.microsoft.com/office/excel/2006/main">
          <x14:cfRule type="containsText" priority="2" operator="containsText" id="{63b07f1e-b6d8-478c-b3f4-19b713cd87a2}">
            <xm:f>NOT(ISERROR(SEARCH($K$2,K1)))</xm:f>
            <xm:f>$K$2</xm:f>
            <x14:dxf>
              <fill>
                <patternFill patternType="solid">
                  <bgColor rgb="FF7030A0"/>
                </patternFill>
              </fill>
            </x14:dxf>
          </x14:cfRule>
          <xm:sqref>K$1:K$1048576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 Ques 01 to 3</vt:lpstr>
      <vt:lpstr>From Ques 4 To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ubntu</cp:lastModifiedBy>
  <dcterms:created xsi:type="dcterms:W3CDTF">2026-05-31T13:12:00Z</dcterms:created>
  <dcterms:modified xsi:type="dcterms:W3CDTF">2026-05-31T16:08:42Z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